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ink/ink1.xml" ContentType="application/inkml+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5.xml" ContentType="application/vnd.openxmlformats-officedocument.spreadsheetml.pivotTable+xml"/>
  <Override PartName="/xl/drawings/drawing1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6.xml" ContentType="application/vnd.openxmlformats-officedocument.spreadsheetml.pivotTable+xml"/>
  <Override PartName="/xl/drawings/drawing1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7.xml" ContentType="application/vnd.openxmlformats-officedocument.spreadsheetml.pivotTable+xml"/>
  <Override PartName="/xl/drawings/drawing18.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8.xml" ContentType="application/vnd.openxmlformats-officedocument.spreadsheetml.pivotTable+xml"/>
  <Override PartName="/xl/drawings/drawing19.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9.xml" ContentType="application/vnd.openxmlformats-officedocument.spreadsheetml.pivotTable+xml"/>
  <Override PartName="/xl/drawings/drawing20.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0.xml" ContentType="application/vnd.openxmlformats-officedocument.spreadsheetml.pivotTable+xml"/>
  <Override PartName="/xl/drawings/drawing21.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1.xml" ContentType="application/vnd.openxmlformats-officedocument.spreadsheetml.pivotTable+xml"/>
  <Override PartName="/xl/drawings/drawing22.xml" ContentType="application/vnd.openxmlformats-officedocument.drawing+xml"/>
  <Override PartName="/xl/tables/table2.xml" ContentType="application/vnd.openxmlformats-officedocument.spreadsheetml.tab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2.xml" ContentType="application/vnd.openxmlformats-officedocument.spreadsheetml.pivotTable+xml"/>
  <Override PartName="/xl/drawings/drawing23.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24.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D:\OSO\KEFRI\"/>
    </mc:Choice>
  </mc:AlternateContent>
  <xr:revisionPtr revIDLastSave="0" documentId="8_{3C2F5850-781A-44E9-9139-E50284482BDB}" xr6:coauthVersionLast="47" xr6:coauthVersionMax="47" xr10:uidLastSave="{00000000-0000-0000-0000-000000000000}"/>
  <bookViews>
    <workbookView xWindow="-120" yWindow="-120" windowWidth="20730" windowHeight="11310" xr2:uid="{00000000-000D-0000-FFFF-FFFF00000000}"/>
  </bookViews>
  <sheets>
    <sheet name="Tree Species Assesement" sheetId="1" r:id="rId1"/>
    <sheet name="Gender" sheetId="27" r:id="rId2"/>
    <sheet name="Age" sheetId="28" r:id="rId3"/>
    <sheet name="Age1" sheetId="43" r:id="rId4"/>
    <sheet name="Occupation" sheetId="29" r:id="rId5"/>
    <sheet name="Education" sheetId="30" r:id="rId6"/>
    <sheet name="Education1" sheetId="2" r:id="rId7"/>
    <sheet name="Livelihood" sheetId="7" r:id="rId8"/>
    <sheet name="LIvelihood1" sheetId="34" r:id="rId9"/>
    <sheet name="Forestry" sheetId="35" r:id="rId10"/>
    <sheet name="Forestry1" sheetId="45" r:id="rId11"/>
    <sheet name="Forestry2" sheetId="46" r:id="rId12"/>
    <sheet name="Forestry3" sheetId="47" r:id="rId13"/>
    <sheet name="Forestry4" sheetId="48" r:id="rId14"/>
    <sheet name="Farm Forestry" sheetId="36" r:id="rId15"/>
    <sheet name="Farmforestry1" sheetId="11" r:id="rId16"/>
    <sheet name="Other Practices" sheetId="37" r:id="rId17"/>
    <sheet name="OtherPractices1" sheetId="38" r:id="rId18"/>
    <sheet name="Seedling Source" sheetId="39" r:id="rId19"/>
    <sheet name="Source1" sheetId="40" r:id="rId20"/>
    <sheet name="Source2" sheetId="41" r:id="rId21"/>
    <sheet name="Source3" sheetId="42" r:id="rId22"/>
    <sheet name="Selection" sheetId="19" r:id="rId23"/>
    <sheet name="Seed species" sheetId="18" r:id="rId24"/>
    <sheet name="Purpose" sheetId="15" r:id="rId25"/>
    <sheet name="Reason" sheetId="20" r:id="rId26"/>
    <sheet name="Reason1" sheetId="21" r:id="rId27"/>
    <sheet name="Seed Distribution" sheetId="23" r:id="rId28"/>
    <sheet name="Distribution" sheetId="25" r:id="rId29"/>
  </sheets>
  <calcPr calcId="191029"/>
  <pivotCaches>
    <pivotCache cacheId="0" r:id="rId30"/>
    <pivotCache cacheId="1" r:id="rId31"/>
    <pivotCache cacheId="2" r:id="rId32"/>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M71" i="1" l="1"/>
  <c r="BL71" i="1"/>
  <c r="CF71" i="1"/>
  <c r="CG71" i="1"/>
  <c r="CH71" i="1"/>
  <c r="CI71" i="1"/>
  <c r="CJ71" i="1"/>
  <c r="CK71" i="1"/>
  <c r="CL71" i="1"/>
  <c r="BM71" i="1"/>
  <c r="BN71" i="1"/>
  <c r="BO71" i="1"/>
  <c r="BP71" i="1"/>
  <c r="BQ71" i="1"/>
  <c r="BR71" i="1"/>
  <c r="BS71" i="1"/>
  <c r="BT71" i="1"/>
  <c r="BU71" i="1"/>
  <c r="BV71" i="1"/>
  <c r="BW71" i="1"/>
  <c r="BX71" i="1"/>
  <c r="BY71" i="1"/>
  <c r="BZ71" i="1"/>
  <c r="CA71" i="1"/>
  <c r="CB71" i="1"/>
  <c r="CC71" i="1"/>
  <c r="CD71" i="1"/>
  <c r="CE71" i="1"/>
  <c r="BK71" i="1"/>
  <c r="AE71" i="1"/>
  <c r="AD71" i="1"/>
  <c r="AC71" i="1"/>
  <c r="AB71" i="1"/>
</calcChain>
</file>

<file path=xl/sharedStrings.xml><?xml version="1.0" encoding="utf-8"?>
<sst xmlns="http://schemas.openxmlformats.org/spreadsheetml/2006/main" count="3153" uniqueCount="1305">
  <si>
    <t>start</t>
  </si>
  <si>
    <t>end</t>
  </si>
  <si>
    <t>This Questionnaire intends to asses the most Preferred Tree Species  for Kibwezi East &amp; West sub-counties-Makueni County</t>
  </si>
  <si>
    <t>Introduction and Consenting</t>
  </si>
  <si>
    <t>Do you agree to participate in this survey?</t>
  </si>
  <si>
    <t>SECTION A: Survey Quality Control</t>
  </si>
  <si>
    <t>Enumerator Name:</t>
  </si>
  <si>
    <t>Date of the interview</t>
  </si>
  <si>
    <t>Ward/ Location/ Village</t>
  </si>
  <si>
    <t xml:space="preserve">Gps coordinates </t>
  </si>
  <si>
    <t>_Gps coordinates _latitude</t>
  </si>
  <si>
    <t>_Gps coordinates _longitude</t>
  </si>
  <si>
    <t>_Gps coordinates _altitude</t>
  </si>
  <si>
    <t>_Gps coordinates _precision</t>
  </si>
  <si>
    <t>SECTION B: Respondents General Information</t>
  </si>
  <si>
    <t xml:space="preserve">Name of the respondent </t>
  </si>
  <si>
    <t>Gender</t>
  </si>
  <si>
    <t>Age</t>
  </si>
  <si>
    <t>Household size</t>
  </si>
  <si>
    <t xml:space="preserve">Male </t>
  </si>
  <si>
    <t>Female</t>
  </si>
  <si>
    <t xml:space="preserve">Contact (Phone No:) </t>
  </si>
  <si>
    <t>Occupation of the respondent</t>
  </si>
  <si>
    <t>Highest level of education</t>
  </si>
  <si>
    <t>SECTION C: Farm Forestry Practices</t>
  </si>
  <si>
    <t>What is your main livelihood source?</t>
  </si>
  <si>
    <t>For Others, specify</t>
  </si>
  <si>
    <t>Do you practice Forestry</t>
  </si>
  <si>
    <t>Do you practice farm forestry (planting crops and trees)</t>
  </si>
  <si>
    <t>If yes what other farm activities do you practice in your farm?</t>
  </si>
  <si>
    <t>What is the area of your land under farm forestry (give acres)</t>
  </si>
  <si>
    <t>Where do you obtain your seedlings?</t>
  </si>
  <si>
    <t>if other, specify</t>
  </si>
  <si>
    <t>What are your main purposes for planting trees?</t>
  </si>
  <si>
    <t>Specify, Other</t>
  </si>
  <si>
    <t>SECTION D: Tree Species Preferences</t>
  </si>
  <si>
    <t>From the list below, select  ten tree species you most prefer to plant and why (eg. fruit, timber, fodder, medicine, resilience)?</t>
  </si>
  <si>
    <t xml:space="preserve">Give Five (5) most preferred tree species to be planted in your farm in of priority and atleast three (3) reason  for each preference.  </t>
  </si>
  <si>
    <t>1st Choice tree species</t>
  </si>
  <si>
    <t>Reasons</t>
  </si>
  <si>
    <t>2nd Choice tree species</t>
  </si>
  <si>
    <t>3rd Choice tree species</t>
  </si>
  <si>
    <t>4th Choice tree species</t>
  </si>
  <si>
    <t>5th Choice tree species</t>
  </si>
  <si>
    <t>Give five (5) least preferred tree species and reasons for each.</t>
  </si>
  <si>
    <t>SECTION E: Timing and Preferences</t>
  </si>
  <si>
    <t>Which period of the year do you prefer to receive or plant seedlings?</t>
  </si>
  <si>
    <t>How do you prefer seedlings to be distributed?</t>
  </si>
  <si>
    <t>SECTION F: Uses/ Potential benefits</t>
  </si>
  <si>
    <t>What are the benefits you get from planted trees?</t>
  </si>
  <si>
    <t>Give the most locally desired species by the community</t>
  </si>
  <si>
    <t>What challenges do you face in growing trees?</t>
  </si>
  <si>
    <t>_id</t>
  </si>
  <si>
    <t>_submission_time</t>
  </si>
  <si>
    <t>_validation_status</t>
  </si>
  <si>
    <t>_notes</t>
  </si>
  <si>
    <t>_status</t>
  </si>
  <si>
    <t>_submitted_by</t>
  </si>
  <si>
    <t>__version__</t>
  </si>
  <si>
    <t>_tags</t>
  </si>
  <si>
    <t>meta/rootUuid</t>
  </si>
  <si>
    <t>_index</t>
  </si>
  <si>
    <t>submitted_via_web</t>
  </si>
  <si>
    <t>Yes, I agree</t>
  </si>
  <si>
    <t>Male</t>
  </si>
  <si>
    <t>18-25</t>
  </si>
  <si>
    <t>Teacher</t>
  </si>
  <si>
    <t>Tertiary</t>
  </si>
  <si>
    <t>Crop farming Livestock keeping Agroforestry</t>
  </si>
  <si>
    <t>Yes</t>
  </si>
  <si>
    <t xml:space="preserve">Yes </t>
  </si>
  <si>
    <t xml:space="preserve">Livestock keeping  Grass planting  Crop farming  Bee keeping </t>
  </si>
  <si>
    <t>KEFRI Self-raised</t>
  </si>
  <si>
    <t>Shade Timber Fruits Fuelwood Boundary marking Environmental reasons (erosion control, windbreak, etc)</t>
  </si>
  <si>
    <t>October-November rains (short rains)</t>
  </si>
  <si>
    <t>Group distribution Individual pickup</t>
  </si>
  <si>
    <t>vJPceuhERXDBSEb667dJra</t>
  </si>
  <si>
    <t>56-60</t>
  </si>
  <si>
    <t xml:space="preserve">Secondary </t>
  </si>
  <si>
    <t xml:space="preserve">Crop farming </t>
  </si>
  <si>
    <t>Through local leaders</t>
  </si>
  <si>
    <t>Crop farming</t>
  </si>
  <si>
    <t xml:space="preserve">No </t>
  </si>
  <si>
    <t>KEFRI</t>
  </si>
  <si>
    <t>Group distribution</t>
  </si>
  <si>
    <t>Faith Kyengo</t>
  </si>
  <si>
    <t>Nguumo</t>
  </si>
  <si>
    <t>-2.350297 37.883618 984.8 5.300000190734863</t>
  </si>
  <si>
    <t>Mary Kiseso</t>
  </si>
  <si>
    <t>41-45</t>
  </si>
  <si>
    <t>No</t>
  </si>
  <si>
    <t>KEFRI Local nursery</t>
  </si>
  <si>
    <t>Shade Timber Fruits Boundary marking Environmental reasons (erosion control, windbreak, etc)</t>
  </si>
  <si>
    <t>Melia Volkensii Neem (Azadirachta indica) Acacia tortilis Dalbergia melanoxylon croton megalocarpus Mango Avocado Moringa oleifera Passion fruit Lemon tree</t>
  </si>
  <si>
    <t>Melia volkensii</t>
  </si>
  <si>
    <t>Source of income, for shade, Erosion control</t>
  </si>
  <si>
    <t>Acacia tortilis</t>
  </si>
  <si>
    <t>For feeder, For shade, Erosion control</t>
  </si>
  <si>
    <t>Mango</t>
  </si>
  <si>
    <t>Source of income, For food, Fuelwood</t>
  </si>
  <si>
    <t>Lemon</t>
  </si>
  <si>
    <t>Source of income, medicinal, Environmental benefits</t>
  </si>
  <si>
    <t>Neem</t>
  </si>
  <si>
    <t>Medicinal, For shed, Environmental reasons</t>
  </si>
  <si>
    <t>Croton megalocarpus, Avocado, Dalbergia melanoxyon, Moringa Oleifera, Passion fruit</t>
  </si>
  <si>
    <t>Water scarcity, Diseases invasions, low demand, Unfavorable climate,</t>
  </si>
  <si>
    <t>Income generation, Medicinal, Food, Shelter, Erosion control, windbreak</t>
  </si>
  <si>
    <t>Mangoes, Pawpaw, Melia volkensii, Cashew nuts,Pomegranate,Acacia tortilis , Moringa oleifera, Croton megalocarpus, Balanites aegyptica</t>
  </si>
  <si>
    <t>Water scarcity, Termites invasions, diseases , low market price for fruits, Insufficient funds</t>
  </si>
  <si>
    <t>3f9123cc-5b8c-4903-9f13-c8efd4f3d73a</t>
  </si>
  <si>
    <t>uuid:3f9123cc-5b8c-4903-9f13-c8efd4f3d73a</t>
  </si>
  <si>
    <t>-2.350282 37.883525 1014.3 5.099999904632568</t>
  </si>
  <si>
    <t>Emmah Kituku</t>
  </si>
  <si>
    <t xml:space="preserve">Livestock keeping  Horticulture  Crop farming </t>
  </si>
  <si>
    <t>Self-raised</t>
  </si>
  <si>
    <t>Shade Timber Fodder Fruits Fuelwood Boundary marking Income generation Environmental reasons (erosion control, windbreak, etc)</t>
  </si>
  <si>
    <t>Melia Volkensii Neem (Azadirachta indica) Acacia tortilis croton megalocarpus Mango Avocado Terminalia brownii Moringa oleifera Passion fruit Lemon tree</t>
  </si>
  <si>
    <t>Income generation, shade, Timber</t>
  </si>
  <si>
    <t>Fruits, income generation, Fuelwood</t>
  </si>
  <si>
    <t>Income generation, fruit, Nutritional uses, Health and medicinal uses.</t>
  </si>
  <si>
    <t>Medicinal, shade, Erosion control</t>
  </si>
  <si>
    <t>Fodder, Erosion control, Timber and poles, Soil conservation</t>
  </si>
  <si>
    <t>Terminalia brownii, Moringa oleifera, Croton megalocarpus,Passion fruit, Avocado</t>
  </si>
  <si>
    <t>Takes many years to mature,Termites attack, Not very drought tolerant when young, Low economic returns, Performs poorly in low rainfall</t>
  </si>
  <si>
    <t>Environmental reason</t>
  </si>
  <si>
    <t>Water scarcity, financial challenge,</t>
  </si>
  <si>
    <t>4ef7d2e3-6251-4521-9572-b3930b81ca4a</t>
  </si>
  <si>
    <t>uuid:4ef7d2e3-6251-4521-9572-b3930b81ca4a</t>
  </si>
  <si>
    <t>-2.352675 37.883418 995.7 3.0999999046325684</t>
  </si>
  <si>
    <t>Nancy Kitung'a</t>
  </si>
  <si>
    <t>46-50</t>
  </si>
  <si>
    <t>Shade Timber Fodder Fruits Fuelwood Boundary marking Income generation Environmental reasons (erosion control, windbreak, etc) Other</t>
  </si>
  <si>
    <t>Beatification</t>
  </si>
  <si>
    <t>Tamarindus indica (Tamarind) Melia Volkensii Neem (Azadirachta indica) Acacia tortilis croton megalocarpus Mango Balanites aegyptiaca Terminalia brownii Moringa oleifera Lemon tree</t>
  </si>
  <si>
    <t>For shed, medicinal, Firewood</t>
  </si>
  <si>
    <t>Timber, source of income, Erosion control</t>
  </si>
  <si>
    <t>Fruits, Income generation, medicinal (Health uses)</t>
  </si>
  <si>
    <t>Income generation, Fruit, Fuelwood, Shade</t>
  </si>
  <si>
    <t>Tamarindus indica</t>
  </si>
  <si>
    <t>Medicinal, Fruit, Fuelwood, Shade</t>
  </si>
  <si>
    <t>Croton megalocarpus, Balanites aegyptica, Moringa oleifera, Terminalia brownii, Acacia tortilis</t>
  </si>
  <si>
    <t>Slow early growth, cannot withstand strong drought,Not good for homesteads,Low financial returns,Has thorns or hard to manage</t>
  </si>
  <si>
    <t>Source of income, Fruits, control soil erosion, windbreaker, Shade, For Medicinal purposes, Beautification</t>
  </si>
  <si>
    <t>Melia volkensii, Senna siamea, Mango, lemon</t>
  </si>
  <si>
    <t>Financial challenges, water scarcity, Attack by Pests, Diseases</t>
  </si>
  <si>
    <t>de22aa8a-9353-4f7a-a131-701f3009ee2e</t>
  </si>
  <si>
    <t>uuid:de22aa8a-9353-4f7a-a131-701f3009ee2e</t>
  </si>
  <si>
    <t>Muuni</t>
  </si>
  <si>
    <t>-2.365034 37.892175 0 600</t>
  </si>
  <si>
    <t>Lydia Ndinda Paul</t>
  </si>
  <si>
    <t>Farmer</t>
  </si>
  <si>
    <t>Livestock keeping Agroforestry Other</t>
  </si>
  <si>
    <t>Poultry</t>
  </si>
  <si>
    <t xml:space="preserve">Livestock keeping  Grass planting  Horticulture  Crop farming  Bee keeping </t>
  </si>
  <si>
    <t>Tamarindus indica (Tamarind) Melia Volkensii Neem (Azadirachta indica) Senna siamea  Acacia tortilis Mango Avocado Indian osyris Passion fruit Lemon tree</t>
  </si>
  <si>
    <t>Income generation, Erosion control, manure, Timber, windbreaker, Fuelwood</t>
  </si>
  <si>
    <t>Fruit, Erosion control, Fuelwood, Income generation, Climate change</t>
  </si>
  <si>
    <t>Fodder, Erosion control, Income generation</t>
  </si>
  <si>
    <t>For shed, Erosion control, Medicinal purposes</t>
  </si>
  <si>
    <t>Fruits, Income generation, Health and medicinal purposes</t>
  </si>
  <si>
    <t>Terminalia brownii, Dalbergia melanoxyon,Pytex payos, Croton megalocarpus Cobretum brownii</t>
  </si>
  <si>
    <t>Low immediate economic returns, Extremely slow-growing, Low demand in markets compared to other fruit or timber species, Not drought-tolerant at seedling stage,</t>
  </si>
  <si>
    <t>Income generation, Fruits, Ecological benefits, Environmental benefits, Social benefits</t>
  </si>
  <si>
    <t>Melia volkensii, pomagranate, Cashew nuts, Mango</t>
  </si>
  <si>
    <t>Financial challenges, Water scarcity, pests and diseases</t>
  </si>
  <si>
    <t>d10fbd19-eb11-45fd-8463-f6693d496457</t>
  </si>
  <si>
    <t>uuid:d10fbd19-eb11-45fd-8463-f6693d496457</t>
  </si>
  <si>
    <t>Siembeni village</t>
  </si>
  <si>
    <t>-2.345615 37.886552 997.2 5.699999809265137</t>
  </si>
  <si>
    <t>Raphael Mutua</t>
  </si>
  <si>
    <t>Bursar</t>
  </si>
  <si>
    <t>Crop farming Livestock keeping Agroforestry Other</t>
  </si>
  <si>
    <t xml:space="preserve">Livestock keeping  Grass planting  Horticulture  Crop farming </t>
  </si>
  <si>
    <t>Tamarindus indica (Tamarind) Melia Volkensii Neem (Azadirachta indica) Dalbergia melanoxylon croton megalocarpus Mango Avocado Indian osyris Passion fruit Lemon tree</t>
  </si>
  <si>
    <t>For timber, Income generation,For shade, Erosion control, Fuelwood.</t>
  </si>
  <si>
    <t>Income generation, Fruits, Erosion conservation,Wood and timber, For shade</t>
  </si>
  <si>
    <t>Windbreaker, Timber, erosion control, For shade Fuelwood, medicinal</t>
  </si>
  <si>
    <t>Income generation, Fruits, It's medicinal,Household uses,Fuelwood</t>
  </si>
  <si>
    <t>Avocado</t>
  </si>
  <si>
    <t>For income generation, Food, Health benefits , For shade, their roots help with soil stability</t>
  </si>
  <si>
    <t>Pytex payos, Acacia Meifera, Balanites aegyptica, acacia Senegal , acacia seyal</t>
  </si>
  <si>
    <t>Takes long to mature, low returns,</t>
  </si>
  <si>
    <t>Climate change resilience , Agricultural benefits, Nutritional benefits, Health benefits, Environmental benefits</t>
  </si>
  <si>
    <t>Melia volkensii, pomagranate, cashew nuts , Mangoes, Lemons</t>
  </si>
  <si>
    <t>Financial challenges, Pest and diseases, Water scarcity</t>
  </si>
  <si>
    <t>62fcdc7d-c50c-4fd5-a943-031e21ca896e</t>
  </si>
  <si>
    <t>uuid:62fcdc7d-c50c-4fd5-a943-031e21ca896e</t>
  </si>
  <si>
    <t>Kyuusyani</t>
  </si>
  <si>
    <t>-2.340072 37.87712 983.2 4.800000190734863</t>
  </si>
  <si>
    <t>Benedict Mutiso</t>
  </si>
  <si>
    <t>61 and above</t>
  </si>
  <si>
    <t>Crop farming Agroforestry Other</t>
  </si>
  <si>
    <t xml:space="preserve">Horticulture  Crop farming </t>
  </si>
  <si>
    <t>Melia Volkensii Neem (Azadirachta indica) Senna abbreviata Acacia seyal Dalbergia melanoxylon Delonix regia Mango Moringa oleifera Passion fruit Lemon tree</t>
  </si>
  <si>
    <t>Food, income generation, Health benefits,Reduce soil erosion, climate change resilience</t>
  </si>
  <si>
    <t>Income generation, For Health benefits, Erosion control, Fuelwood, supports polinators</t>
  </si>
  <si>
    <t>Income generation, For timber, Fuelwood, Erosion control, boundary marking</t>
  </si>
  <si>
    <t>Acacia meifera</t>
  </si>
  <si>
    <t>Firewood, Fencing, improves biodiversity, animal feed and fooder</t>
  </si>
  <si>
    <t>Moringa oleifera</t>
  </si>
  <si>
    <t>It medicinal, leaves can be used as fooder</t>
  </si>
  <si>
    <t>Acacia tortilis, Baobab, Terminalia brownii ,</t>
  </si>
  <si>
    <t>Already planted enough ,</t>
  </si>
  <si>
    <t>Individual pickup</t>
  </si>
  <si>
    <t>Beautification, Erosion control, source of income, For shed, Fuelwood</t>
  </si>
  <si>
    <t>Melia volkensii, mango, lemon, Cashew nuts, pomagranate , Avocado,</t>
  </si>
  <si>
    <t>Water scarcity, pests and diseases,</t>
  </si>
  <si>
    <t>5625ea0e-cad1-40ca-a6f6-f4ed6fd7e7a2</t>
  </si>
  <si>
    <t>uuid:5625ea0e-cad1-40ca-a6f6-f4ed6fd7e7a2</t>
  </si>
  <si>
    <t>-2.340152 37.877755 1002.9000000000001 6</t>
  </si>
  <si>
    <t>Sebastian Maundu</t>
  </si>
  <si>
    <t>Crop farming Livestock keeping</t>
  </si>
  <si>
    <t>Melia Volkensii Neem (Azadirachta indica) Acacia tortilis Dalbergia melanoxylon Delonix regia Mango Avocado Moringa oleifera Passion fruit Lemon tree</t>
  </si>
  <si>
    <t>Fruit, Income generation, Shade, Fuelwood,</t>
  </si>
  <si>
    <t>fruits, income, Medicinal</t>
  </si>
  <si>
    <t>Timber, windbreaker, Soil erosion control</t>
  </si>
  <si>
    <t>Health and nutritional uses, For income generation, Fruits</t>
  </si>
  <si>
    <t>Shed, medicinal, windbreaker</t>
  </si>
  <si>
    <t>Baobab, Pytex payos, acacia nilotica, Acacia Meifera, Croton megalocarpus</t>
  </si>
  <si>
    <t>Low income returns,  Takes long to mature,</t>
  </si>
  <si>
    <t>Controls soil erosion, Beautification, Windbreaker, For income generation,</t>
  </si>
  <si>
    <t>Mango, Lemon, Avocado, Acacia tortilis,</t>
  </si>
  <si>
    <t>Water scarcity, pests and diseases,  Thieves</t>
  </si>
  <si>
    <t>13e66e70-5837-43d8-ad16-417a3fd2d454</t>
  </si>
  <si>
    <t>uuid:13e66e70-5837-43d8-ad16-417a3fd2d454</t>
  </si>
  <si>
    <t>Muusini Village</t>
  </si>
  <si>
    <t>-2.315942 37.854598 879.2 61.900001525878906</t>
  </si>
  <si>
    <t>Felisters Mutungi</t>
  </si>
  <si>
    <t>36-40</t>
  </si>
  <si>
    <t>Business</t>
  </si>
  <si>
    <t xml:space="preserve">Livestock keeping  Grass planting  Crop farming </t>
  </si>
  <si>
    <t>Tamarindus indica (Tamarind) Melia Volkensii Neem (Azadirachta indica) Senna siamea  Acacia tortilis Mango Avocado Terminalia brownii Olea africana Lemon tree</t>
  </si>
  <si>
    <t>Medicinal, For shade, Timber</t>
  </si>
  <si>
    <t>Timber, Fuelwood, Environmental reasons, Fodder</t>
  </si>
  <si>
    <t>Fruit, Fuelwood, shade, soil erosion control , Health and nutritional purposes</t>
  </si>
  <si>
    <t>Health and nutritional purposes, Soil erosion control, Fuelwood</t>
  </si>
  <si>
    <t>Terminalia brownii</t>
  </si>
  <si>
    <t>Medicinal, For shade, Fuelwood, Environmental reasons</t>
  </si>
  <si>
    <t>Avocado, Baobab, Senna siamea, combretum brownii, Balanites aegyptica</t>
  </si>
  <si>
    <t>Avocado it's not drought tolerant, Baobab grows huge and shade crops Balanites aegyptica has thorns therefore makes it difficult to handle, Combretum brownii -limited knowledge about it's uses</t>
  </si>
  <si>
    <t>Source of income, soil erosion control, Some trees are medicinal, Fruits</t>
  </si>
  <si>
    <t>Melia volkensii, Mangoes, Lemon</t>
  </si>
  <si>
    <t>Water scarcity, pests(termites) financial challenges, lack of the seedlings.</t>
  </si>
  <si>
    <t>6775ab7e-0398-487b-a7fe-298a2fd5ec73</t>
  </si>
  <si>
    <t>uuid:6775ab7e-0398-487b-a7fe-298a2fd5ec73</t>
  </si>
  <si>
    <t>-2.315992 37.85321 1005.3 10</t>
  </si>
  <si>
    <t>Magdalene Musyoka</t>
  </si>
  <si>
    <t xml:space="preserve">Primary </t>
  </si>
  <si>
    <t>Tamarindus indica (Tamarind) Melia Volkensii Neem (Azadirachta indica) Senna siamea  Mango Terminalia brownii Moringa oleifera Passion fruit Lemon tree</t>
  </si>
  <si>
    <t>Fruit, source of income, soil erosion control</t>
  </si>
  <si>
    <t>Source of income, Fruit, Soil erosion control</t>
  </si>
  <si>
    <t>For shade, Windbreaker, Medicinal Purposes</t>
  </si>
  <si>
    <t>Timber, Income generation, Fuewood</t>
  </si>
  <si>
    <t>Senna siamea</t>
  </si>
  <si>
    <t>Fooder, For shade, Windbreaker</t>
  </si>
  <si>
    <t>Baobab, Acacia tortilis, Balanites aegyptica, Melia Azedarach, Cobretum brownii</t>
  </si>
  <si>
    <t>Low growth rate,  Grows huge and shade crops, Low direct benefits</t>
  </si>
  <si>
    <t>Source of income, soil erosion control, Fruits, Medicinal, For shade, Fodder, Beautification</t>
  </si>
  <si>
    <t>Mango, lemon, Melia volkensii, Neem</t>
  </si>
  <si>
    <t>Water scarcity, pack of the seedlings, pests (termites</t>
  </si>
  <si>
    <t>209b3857-ab40-4e3b-ba75-8d796fd695d0</t>
  </si>
  <si>
    <t>uuid:209b3857-ab40-4e3b-ba75-8d796fd695d0</t>
  </si>
  <si>
    <t>Muangeni</t>
  </si>
  <si>
    <t>-2.315378 37.851465 979.1 18</t>
  </si>
  <si>
    <t>Mirrium Mulandi</t>
  </si>
  <si>
    <t>Crop farming Agroforestry</t>
  </si>
  <si>
    <t>Tamarindus indica (Tamarind) Melia Volkensii Neem (Azadirachta indica) Senna siamea  Senna abbreviata Mango Terminalia brownii Moringa oleifera Passion fruit Lemon tree</t>
  </si>
  <si>
    <t>Fruits, source of income, soil erosion control</t>
  </si>
  <si>
    <t>Fruits, income generation, Fuelwood, Health and nutritional purposes</t>
  </si>
  <si>
    <t>For timber, Fooder, For shade</t>
  </si>
  <si>
    <t>Senna simea</t>
  </si>
  <si>
    <t>For shade, Fooder, Windbreaker</t>
  </si>
  <si>
    <t>Medicinal, source of income, Soil erosion control</t>
  </si>
  <si>
    <t>Baobab, croton megalocarpus, Acacia meifera, Terminalia brownii, Acacia tortilis</t>
  </si>
  <si>
    <t>Baobab- Grows huge shading crop, Croton megalocarpus -Not drought tolerant at seedling stageAcacia melifera-Makes land dry, Terminalia brown-Planted plenty of them, Acacia tortilis - Low direct benefits</t>
  </si>
  <si>
    <t>Income generation, Soil erosion control, Fuelwood, Beautification,</t>
  </si>
  <si>
    <t>Melia volkensii, Neem, Mango, Lemon</t>
  </si>
  <si>
    <t>Lack of the seedlings, water scarcity, Pests(Termites)</t>
  </si>
  <si>
    <t>ff9cc70b-e831-46bb-80b5-e17d267a8147</t>
  </si>
  <si>
    <t>uuid:ff9cc70b-e831-46bb-80b5-e17d267a8147</t>
  </si>
  <si>
    <t>-2.316648 37.850452 1030.2 12.600000381469727</t>
  </si>
  <si>
    <t>Festus Kimotho</t>
  </si>
  <si>
    <t>Businessman</t>
  </si>
  <si>
    <t>Poultry keeping</t>
  </si>
  <si>
    <t xml:space="preserve">Livestock keeping  Crop farming </t>
  </si>
  <si>
    <t>Tamarindus indica (Tamarind) Melia Volkensii Neem (Azadirachta indica) Senna siamea  Senna abbreviata croton megalocarpus Mango Moringa oleifera Passion fruit Lemon tree</t>
  </si>
  <si>
    <t>Fruits, source of income, controls soil erosion</t>
  </si>
  <si>
    <t>For timber, income generation, windbreaker</t>
  </si>
  <si>
    <t>Income generation, soil erosion control, medicinal</t>
  </si>
  <si>
    <t>For shade, Medicinal, Windbreaker</t>
  </si>
  <si>
    <t>For fruits, For shade, Fuelwood</t>
  </si>
  <si>
    <t>Baobab, Balanites aegyptica,</t>
  </si>
  <si>
    <t>Takes long to mature, limited income returns, Grows huge shading crops,</t>
  </si>
  <si>
    <t>Soil erosion control, For shade , Fruits, source of income, medicinal,</t>
  </si>
  <si>
    <t>Mango, Neem, Melia volkensii, Lemon</t>
  </si>
  <si>
    <t>Pests(termites), water scarcity, lack of the seedlings 11</t>
  </si>
  <si>
    <t>fd35e173-d440-45ce-9e3e-c0f69b33ccf0</t>
  </si>
  <si>
    <t>uuid:fd35e173-d440-45ce-9e3e-c0f69b33ccf0</t>
  </si>
  <si>
    <t>Nguumo Village</t>
  </si>
  <si>
    <t>-2.313373 37.847162 969.8 10.100000381469727</t>
  </si>
  <si>
    <t>Emma Kaunda</t>
  </si>
  <si>
    <t>Tamarindus indica (Tamarind) Melia Volkensii Neem (Azadirachta indica) Senna siamea  Delonix regia Mango Terminalia brownii Moringa oleifera Passion fruit Lemon tree</t>
  </si>
  <si>
    <t>Fruits, soil erosion control, Health and nutritional purposes, source of income</t>
  </si>
  <si>
    <t>For timber, Windbreaker, Income generation</t>
  </si>
  <si>
    <t>Medicinal, windbreaker, Fooder</t>
  </si>
  <si>
    <t>Health and nutritional purposes, income generation, soil erosion control</t>
  </si>
  <si>
    <t>For shade, windbreaker, soil erosion control</t>
  </si>
  <si>
    <t>Acacia meifera, Acacia tortilis, Croton megalocarpus, Baobab, Cobretum brownii</t>
  </si>
  <si>
    <t>Low returns benefits, poor awareness of uses,slow growth, Completion with crops</t>
  </si>
  <si>
    <t>Timber, source of income, Health and nutritional benefits,controls soil erosion</t>
  </si>
  <si>
    <t>Neem, Melia volkensii, lemon, Mango</t>
  </si>
  <si>
    <t>Water scarcity, Pests(Termites), financial challenges</t>
  </si>
  <si>
    <t>fee41ac9-bf1a-4c1b-999b-78fd709b5fbb</t>
  </si>
  <si>
    <t>uuid:fee41ac9-bf1a-4c1b-999b-78fd709b5fbb</t>
  </si>
  <si>
    <t>Nguumo/muuni/kalimani</t>
  </si>
  <si>
    <t>-2.365595 37.878845 962.5 9</t>
  </si>
  <si>
    <t>Christine muema</t>
  </si>
  <si>
    <t>51-55</t>
  </si>
  <si>
    <t>Nurse</t>
  </si>
  <si>
    <t>Other</t>
  </si>
  <si>
    <t xml:space="preserve">Livestock keeping  Crop farming  Bee keeping </t>
  </si>
  <si>
    <t>Shade Fruits Environmental reasons (erosion control, windbreak, etc)</t>
  </si>
  <si>
    <t>Mango Avocado Passion fruit Lemon tree</t>
  </si>
  <si>
    <t>A fast-growing, termite-resistant hardwood, excellent for timber (like mahogany), poles, fuel, and fodder, thriving in dry areas.</t>
  </si>
  <si>
    <t>Salvadora persica</t>
  </si>
  <si>
    <t>Provides fodder, soil protection, and is good for amenity.</t>
  </si>
  <si>
    <t>Syzyphus mauritiana</t>
  </si>
  <si>
    <t>It's excellent for fencing</t>
  </si>
  <si>
    <t>Acacia mellifera</t>
  </si>
  <si>
    <t>A thorny tree with sweet-smelling flowers.</t>
  </si>
  <si>
    <t>multipurpose exotic tree planted for fuel, shade, and fodder</t>
  </si>
  <si>
    <t>Prosopis chilensis, Erybotrya japonica, Sterculia African, Calistemon species, Certain indigenous Acacia species (e.g., Acacia mellifera)</t>
  </si>
  <si>
    <t>These were found to be among the least adopted non-commercial tree species in studies in Makueni County. Their low adoption is primarily attributed to their low commercial and non-commercial uses perceived by the farmers.</t>
  </si>
  <si>
    <t>Shade, fruits</t>
  </si>
  <si>
    <t>Lack of water during dry season</t>
  </si>
  <si>
    <t>a11ae43d-556e-439e-86b3-0d0a5225c4da</t>
  </si>
  <si>
    <t>uuid:a11ae43d-556e-439e-86b3-0d0a5225c4da</t>
  </si>
  <si>
    <t>Kyuusani</t>
  </si>
  <si>
    <t>-2.340398 37.876502 997.6 8.899999618530273</t>
  </si>
  <si>
    <t>Nicodemus Kyalo</t>
  </si>
  <si>
    <t>Electrician</t>
  </si>
  <si>
    <t>Employment</t>
  </si>
  <si>
    <t>KEFRI Other</t>
  </si>
  <si>
    <t>KFS</t>
  </si>
  <si>
    <t>Fruits, For income, Fuelwood, Shade, Erosion control</t>
  </si>
  <si>
    <t>Fruits, Health and nutritional purposes, Income generation</t>
  </si>
  <si>
    <t>For timber, Income generation, windbreaker, Firewood</t>
  </si>
  <si>
    <t>Timber, Fuelwood, Shade</t>
  </si>
  <si>
    <t>Fruit, Health and nutritional purposes, Income generation</t>
  </si>
  <si>
    <t>Baobab, Balanites aegyptica, Vytex payos, Combretum brownii, croton megalocarpus</t>
  </si>
  <si>
    <t>Extremely slow growing, Slow growth rate, limited know uses,Not drought tolerant at seedling stage, can grow tall and shade crops affecting intercrops in farms, low direct benefits</t>
  </si>
  <si>
    <t>Income generation,</t>
  </si>
  <si>
    <t>Melia volkensii, lemon, Mango, Avocado, Neem</t>
  </si>
  <si>
    <t>Water scarcity, pests and diseases</t>
  </si>
  <si>
    <t>30e32352-9b88-46b1-800c-f3d6a1c3aba8</t>
  </si>
  <si>
    <t>uuid:30e32352-9b88-46b1-800c-f3d6a1c3aba8</t>
  </si>
  <si>
    <t>-2.349195 37.87919 998.7 6.300000190734863</t>
  </si>
  <si>
    <t>Cicilia Mutie</t>
  </si>
  <si>
    <t>Tamarindus indica (Tamarind) Melia Volkensii Neem (Azadirachta indica) Senna siamea  Senna abbreviata Acacia tortilis croton megalocarpus Mango Passion fruit Lemon tree</t>
  </si>
  <si>
    <t>Timber, Income generation, Fooder</t>
  </si>
  <si>
    <t>Fruit, Source of income, Fuelwood</t>
  </si>
  <si>
    <t>Source of income, Fuelwood, Fooder</t>
  </si>
  <si>
    <t>Health and nutritional purposes, Fruit, source of income</t>
  </si>
  <si>
    <t>Medicinal, For shade , Windbreaker</t>
  </si>
  <si>
    <t>Baobab, Croton megalocarpus, Balanites aegyptica, Acacia nilotica, Senna siamea</t>
  </si>
  <si>
    <t>Extremely slow growing, Not drought tolerant at seedling stage, Limited  economic returns, Poor awareness of the uses, Produces a lot of leaves and litter confirmed messy around homesteads</t>
  </si>
  <si>
    <t>Timber, Fuel wood, Income generation, soil erosion control, For shade, For Fruits, Some are medicinal</t>
  </si>
  <si>
    <t>Melia volkensii, Lemon, Mango, Neem, Tamarindus indica</t>
  </si>
  <si>
    <t>Water scarcity,  pests ( termites) lack of the seedlings</t>
  </si>
  <si>
    <t>93a75ad4-bc26-449b-a8f3-2e0197bf0575</t>
  </si>
  <si>
    <t>uuid:93a75ad4-bc26-449b-a8f3-2e0197bf0575</t>
  </si>
  <si>
    <t>Nguumo location/Kyandulu Village</t>
  </si>
  <si>
    <t>-2.358977 37.879545 984.1 5.400000095367432</t>
  </si>
  <si>
    <t>Francis Munywoki</t>
  </si>
  <si>
    <t>Civil servant</t>
  </si>
  <si>
    <t>Beekeeping, Poultry</t>
  </si>
  <si>
    <t>Tamarindus indica (Tamarind) Melia Volkensii Neem (Azadirachta indica) Senna siamea  Dalbergia melanoxylon Delonix regia croton megalocarpus Mango Avocado Lemon tree</t>
  </si>
  <si>
    <t>Timber, Income generation, Windbreaker</t>
  </si>
  <si>
    <t>Fruit, Income generation, Soil Erosion control</t>
  </si>
  <si>
    <t>Fruit, For income generation, soil erosion control</t>
  </si>
  <si>
    <t>Fuelwood, For shade, Windbreaker</t>
  </si>
  <si>
    <t>Beeforage, Fooder, fuelwood</t>
  </si>
  <si>
    <t>Balanites aegyptica, acacia nilotica, Senna abbreviata, Baobab, Acacia meifera</t>
  </si>
  <si>
    <t>It's thorny, Takes long to mature, low direct benefits, It can grow tall and shade trees</t>
  </si>
  <si>
    <t>Shade, Timber, income generation, Environmental benefits</t>
  </si>
  <si>
    <t>Terminalia brownii, Melia volkensii, Neem, Senna siamea, Mango, Lemon, Avocado</t>
  </si>
  <si>
    <t>Water scarcity, Pests(termites) , Invasions by animals, lack of the seedlings, Destruction of people</t>
  </si>
  <si>
    <t>fdff7168-80dc-46e0-b37b-557c86deb2ef</t>
  </si>
  <si>
    <t>uuid:fdff7168-80dc-46e0-b37b-557c86deb2ef</t>
  </si>
  <si>
    <t>Nguumo ward /Nguumo Location/Kisauni Village</t>
  </si>
  <si>
    <t>-2.359282 37.901087 983.1 7.75</t>
  </si>
  <si>
    <t>Caroline Kanini</t>
  </si>
  <si>
    <t>KEFRI Local nursery Self-raised</t>
  </si>
  <si>
    <t>Melia Volkensii Neem (Azadirachta indica) Senna siamea  Senna abbreviata Delonix regia Mango Avocado Moringa oleifera Passion fruit Lemon tree</t>
  </si>
  <si>
    <t>Income generation, Health and nutritional purposes, Soil erosion control,Fuelwood</t>
  </si>
  <si>
    <t>Health and nutritional purposes, source of income, soil erosion control, Fuelwood</t>
  </si>
  <si>
    <t>Timber, income generation, Fuelwood, shade</t>
  </si>
  <si>
    <t>Medicinal, shade, Fuelwood, Environmental reasons</t>
  </si>
  <si>
    <t>Income generation, Health and nutritional purposes, soil erosion control</t>
  </si>
  <si>
    <t>Baobab, Acacia tortilis, Balanites aegyptica, senna siamea, Acacia meifera</t>
  </si>
  <si>
    <t>Slow growth compared to other dryland species,Low economic returns, Thorny</t>
  </si>
  <si>
    <t>Shade, Soil erosion control, Timber, Source of income, Nutritional and Health benefits</t>
  </si>
  <si>
    <t>Neem, Melia volkensii, lemon, Mango, Senna siamea (Improved), Guavas, Passion Fruit, Cashew nuts</t>
  </si>
  <si>
    <t>Water scarcity, Lack of the seedlings, Financial challenges, Lack of knowledge</t>
  </si>
  <si>
    <t>8f10cbc3-00f2-4313-bd5e-508e5d7c2fd3</t>
  </si>
  <si>
    <t>uuid:8f10cbc3-00f2-4313-bd5e-508e5d7c2fd3</t>
  </si>
  <si>
    <t>Nguumo Location/Nguumo Village</t>
  </si>
  <si>
    <t>-2.352777 37.903385 986 10.300000190734863</t>
  </si>
  <si>
    <t>Peter Munywoki</t>
  </si>
  <si>
    <t>26-30</t>
  </si>
  <si>
    <t>Tamarindus indica (Tamarind) Neem (Azadirachta indica) Senna siamea  Senna abbreviata Acacia melifera Acacia seyal Dalbergia melanoxylon Mango Avocado Lemon tree</t>
  </si>
  <si>
    <t>Health and nutritional purposes, source of income,</t>
  </si>
  <si>
    <t>Health and nutritional purposes, Soil erosion control</t>
  </si>
  <si>
    <t>For shade, Medicinal purposes, Timber, windbreaker</t>
  </si>
  <si>
    <t>Fodder, For shade, Fuelwood</t>
  </si>
  <si>
    <t>Fruits, For shade, Fuelwood</t>
  </si>
  <si>
    <t>Baobab, Balanites aegyptica, Cobretum brownii, Pytex payos, Acacia tortilis</t>
  </si>
  <si>
    <t>Limited economic returns, Poor awareness of uses, Slow growth,Has thorns making it difficult to handle</t>
  </si>
  <si>
    <t>Timber, Environmental purposes, source of income</t>
  </si>
  <si>
    <t>Neem, lemon, Mango, Cashew nuts</t>
  </si>
  <si>
    <t>Water scarcity, pests(termites), lack of the seedlings, Financial challenges</t>
  </si>
  <si>
    <t>801f38b8-e9d2-446a-b84d-486a1c110ad9</t>
  </si>
  <si>
    <t>uuid:801f38b8-e9d2-446a-b84d-486a1c110ad9</t>
  </si>
  <si>
    <t>Kyambiti Village</t>
  </si>
  <si>
    <t>-2.345197 37.891673 926.7 7.099999904632568</t>
  </si>
  <si>
    <t>Joselyne Mutheu</t>
  </si>
  <si>
    <t>Tamarindus indica (Tamarind) Melia Volkensii Neem (Azadirachta indica) Senna siamea  Senna abbreviata Acacia melifera Mango Terminalia brownii Moringa oleifera Lemon tree</t>
  </si>
  <si>
    <t>Highly drought tolerant, Valuable timber, Resistance to pests,</t>
  </si>
  <si>
    <t>For fruits, income generation, Fuelwood</t>
  </si>
  <si>
    <t>Good for shade and windbreak, Medicinal,Very hardy tolerant to drought</t>
  </si>
  <si>
    <t>Strong durable timber, used for poles, Fuelwood and medicine</t>
  </si>
  <si>
    <t>For fence, Fuelwood, Soil erosion control</t>
  </si>
  <si>
    <t>Baobab, Cobretum brownii</t>
  </si>
  <si>
    <t>Limited income returns, Takes long to mature, Competition with crops</t>
  </si>
  <si>
    <t>Improves soil fertility, Reduce Soil erosion, Increase rainfall and humidity, Provides windbreak, Income generation, For fruits</t>
  </si>
  <si>
    <t>Neem, Melia volkensii, Mango</t>
  </si>
  <si>
    <t>Water scarcity, Attack by Pests and diseases, Unreliable rainfall, harsh weather conditions</t>
  </si>
  <si>
    <t>5dc220f6-4658-43db-b421-333a441951e1</t>
  </si>
  <si>
    <t>uuid:5dc220f6-4658-43db-b421-333a441951e1</t>
  </si>
  <si>
    <t>-2.342267 37.892252 993.6 8.800000190734863</t>
  </si>
  <si>
    <t>Isaac Welikhe</t>
  </si>
  <si>
    <t>Tamarindus indica (Tamarind) Melia Volkensii Neem (Azadirachta indica) Senna siamea  Acacia tortilis croton megalocarpus Mango Balanites aegyptiaca Terminalia brownii Moringa oleifera</t>
  </si>
  <si>
    <t>valuable timber, highly drought tolerant, Resistance to pests</t>
  </si>
  <si>
    <t>For Fruits, Income generation, Soil erosion control</t>
  </si>
  <si>
    <t>For medicinal purposes, For shade, timber and poles</t>
  </si>
  <si>
    <t>Extremely drought tolerant, Provides fuelwood and timber ,Good for soil improvement</t>
  </si>
  <si>
    <t>For fruits, Shade, Fuelwood</t>
  </si>
  <si>
    <t>Cobretum brownii, Acacia meifera, Avocado,</t>
  </si>
  <si>
    <t>Avocado not drought tolerant, unknown benefits,</t>
  </si>
  <si>
    <t>Fuelwood, Timber, Income generation, windbreaker, Fruits, Some are Medicinal, beautify the environment,Improves mental well-being -Green spaces reduce stress</t>
  </si>
  <si>
    <t>Melia volkensii, Neem, Mango, Dalbergia melanoxyon</t>
  </si>
  <si>
    <t>Water scarcity, pests and diseases attack , Lack of the seedlings,</t>
  </si>
  <si>
    <t>cd5393c4-484a-45a7-9f59-2a568e836e84</t>
  </si>
  <si>
    <t>uuid:cd5393c4-484a-45a7-9f59-2a568e836e84</t>
  </si>
  <si>
    <t>Matithini village</t>
  </si>
  <si>
    <t>-2.317707 37.883718 983.1 9.899999618530273</t>
  </si>
  <si>
    <t>Mary Mbithe</t>
  </si>
  <si>
    <t>Tamarindus indica (Tamarind) Melia Volkensii Neem (Azadirachta indica) Senna siamea  croton megalocarpus Mango Terminalia brownii Moringa oleifera Passion fruit</t>
  </si>
  <si>
    <t>For timber and Fuelwood, Income generation, Drought tolerant</t>
  </si>
  <si>
    <t>For medicinal purposes, windbreaker, For shade</t>
  </si>
  <si>
    <t>Income generation, Soil erosion control, Fast growing in dry area, Requires very little water</t>
  </si>
  <si>
    <t>For fruits, For shade, Drought tolerant, windbreaker</t>
  </si>
  <si>
    <t>Acacia meifera, Baobab, Cobretum brownii, croton megalocarpus,</t>
  </si>
  <si>
    <t>Limited economic returns, competition with crops,</t>
  </si>
  <si>
    <t>Soil erosion control, Shade and cooling,beautify the environment , Reduce noise(act as natural noise barriers,</t>
  </si>
  <si>
    <t>Pests and diseases , water scarcity, lack of seedlings, unreliable rainfall</t>
  </si>
  <si>
    <t>d9794705-38e8-4049-b473-13f7eaa1ab7e</t>
  </si>
  <si>
    <t>uuid:d9794705-38e8-4049-b473-13f7eaa1ab7e</t>
  </si>
  <si>
    <t>Muleelani village</t>
  </si>
  <si>
    <t>-2.318757 37.882547 997 4.800000190734863</t>
  </si>
  <si>
    <t>Mary Mutua</t>
  </si>
  <si>
    <t>31-35</t>
  </si>
  <si>
    <t>Tamarindus indica (Tamarind) Melia Volkensii Neem (Azadirachta indica) Senna siamea  Acacia melifera Mango Terminalia brownii Moringa oleifera Olea africana Passion fruit</t>
  </si>
  <si>
    <t>Drought tolerant, hard timber, Resistance to pests</t>
  </si>
  <si>
    <t>For fruits, increases soil fertility(fallen leaves decompose and add nutrients to the soil) Source of income</t>
  </si>
  <si>
    <t>Good for Fence, Firewood and charcoal, soil erosion control</t>
  </si>
  <si>
    <t>Drought tolerant, Very hardy timber, Good for shade and windbreak</t>
  </si>
  <si>
    <t>Fast growing in dry areas, leaves used as food and medicine,Requires very little water</t>
  </si>
  <si>
    <t>Acacia tortilis, Baobab, lemon,</t>
  </si>
  <si>
    <t>Grow huge and shade crops, Attack by Pests and diseases, Not drought tolerant</t>
  </si>
  <si>
    <t>Soil erosion control, acts as windbreaker,Improves soil  fertility</t>
  </si>
  <si>
    <t>Neem, melia volkensii, mango</t>
  </si>
  <si>
    <t>Pests and diseases, Water scarcity, Extreme weather lack of the seedlings</t>
  </si>
  <si>
    <t>f50abeb2-af54-4c58-a102-5d8f2b329def</t>
  </si>
  <si>
    <t>uuid:f50abeb2-af54-4c58-a102-5d8f2b329def</t>
  </si>
  <si>
    <t>Ngaamba Village</t>
  </si>
  <si>
    <t>-2.36822 37.895835 998.2 12.600000381469727</t>
  </si>
  <si>
    <t>Rose Ndibo</t>
  </si>
  <si>
    <t>Tamarindus indica (Tamarind) Melia Volkensii Neem (Azadirachta indica) Senna siamea  Acacia melifera Mango Terminalia brownii Moringa oleifera Passion fruit Lemon tree</t>
  </si>
  <si>
    <t>Hard timber, Drought tolerant,</t>
  </si>
  <si>
    <t>Windbreaker, Timber and Fuelwood, Soil erosion control</t>
  </si>
  <si>
    <t>Health and nutritional purposes, soil erosion control, Fallen leaves decompose and Improves soil fertility</t>
  </si>
  <si>
    <t>For fruits, income generation, Erosion control</t>
  </si>
  <si>
    <t>Fodder, For shade,</t>
  </si>
  <si>
    <t>Baobab, Acacia tortilis,</t>
  </si>
  <si>
    <t>Grows huge and shaded crops, takes long to mature, limited economic returns</t>
  </si>
  <si>
    <t>Improves soil fertility, Acts as windbreaker, Controls soil erosion,</t>
  </si>
  <si>
    <t>Melia volkensii, Neem, mango, Lemon</t>
  </si>
  <si>
    <t>Lack of the seedlings</t>
  </si>
  <si>
    <t>22577a32-5636-4f90-9021-0fc3c6078c9c</t>
  </si>
  <si>
    <t>uuid:22577a32-5636-4f90-9021-0fc3c6078c9c</t>
  </si>
  <si>
    <t>Makuluni village</t>
  </si>
  <si>
    <t>-2.357843 37.887733 988 12.5</t>
  </si>
  <si>
    <t>Agnes Julius</t>
  </si>
  <si>
    <t>Tamarindus indica (Tamarind) Melia Volkensii Neem (Azadirachta indica) Senna siamea  Mango Moringa oleifera Passion fruit Lemon tree</t>
  </si>
  <si>
    <t>Drought tolerant, Valuable timber, Resistance to pests</t>
  </si>
  <si>
    <t>Windbreaker, Good for shade, Fast growing</t>
  </si>
  <si>
    <t>For fruits, For income generation, Soil erosion control</t>
  </si>
  <si>
    <t>Leaves used for food and medicine,Requires little water, Fast growing in dry areas</t>
  </si>
  <si>
    <t>Good for shade, used for Fuelwood, soil erosion control</t>
  </si>
  <si>
    <t>Baobab, Combretum brownii, Acacia tortilis</t>
  </si>
  <si>
    <t>Limited income returns, Competition with crops, Take long to mature</t>
  </si>
  <si>
    <t>For shade, Timber, source of income,Fruits, Some are Medicinal, control Soil erosion,Fuelwood</t>
  </si>
  <si>
    <t>Mango, Melia volkensii, Neem</t>
  </si>
  <si>
    <t>Water scarcity, attack by Pests and diseases, lack of the seedlings</t>
  </si>
  <si>
    <t>53f53670-8b4a-40c2-9090-fb07e2911397</t>
  </si>
  <si>
    <t>uuid:53f53670-8b4a-40c2-9090-fb07e2911397</t>
  </si>
  <si>
    <t>Itangini village</t>
  </si>
  <si>
    <t>-2.371427 37.990075 860.5 12</t>
  </si>
  <si>
    <t>Theophilus Ndavi</t>
  </si>
  <si>
    <t>Neem (Azadirachta indica) Senna siamea  Acacia tortilis Acacia melifera Dalbergia melanoxylon Mango Indian osyris Terminalia brownii Moringa oleifera Passion fruit Lemon tree</t>
  </si>
  <si>
    <t>Indian osyris</t>
  </si>
  <si>
    <t>For income generation, , Medicinal,</t>
  </si>
  <si>
    <t>Dalbergia melanoxyon</t>
  </si>
  <si>
    <t>Drought tolerant, The timber is used for wood curving, windbreaker</t>
  </si>
  <si>
    <t>Windbreaker, used for shade,  timber and Fuelwood</t>
  </si>
  <si>
    <t>Used for fruits,  Source of income , Health and nutritional purposes</t>
  </si>
  <si>
    <t>Extremely drought tolerant, Provides firewood and charcoal,Good for soil improvement</t>
  </si>
  <si>
    <t>Baobab</t>
  </si>
  <si>
    <t>Takes long to mature , grows huge shading crops,</t>
  </si>
  <si>
    <t>Health and nutritional purposes, Shade and cooling,Beautify the environment,  Income generation, For timber, Improves soil fertility</t>
  </si>
  <si>
    <t>Melia volkensii, Neem, Moringa oleifera, Mango</t>
  </si>
  <si>
    <t>Water scarcity, Attack by Pests and diseases, lack of the seedlings</t>
  </si>
  <si>
    <t>872ba991-7b6b-4b8d-ac92-fff2aef469b8</t>
  </si>
  <si>
    <t>uuid:872ba991-7b6b-4b8d-ac92-fff2aef469b8</t>
  </si>
  <si>
    <t>-2.368393 37.99072 863.4 14.5</t>
  </si>
  <si>
    <t>Scholastica Mueni</t>
  </si>
  <si>
    <t>Tamarindus indica (Tamarind) Melia Volkensii Neem (Azadirachta indica) Senna siamea  Senna abbreviata Acacia melifera Dalbergia melanoxylon Mango Moringa oleifera Lemon tree</t>
  </si>
  <si>
    <t>Drought tolerant, Resistance to pests , Hard timber</t>
  </si>
  <si>
    <t>Health and nutritional purposes, source of income</t>
  </si>
  <si>
    <t>Does not require a lot water, leaves are Medicinal, Soil erosion control</t>
  </si>
  <si>
    <t>Drought tolerant, acts as windbreaker, Medicinal uses</t>
  </si>
  <si>
    <t>Good for fence, Controls soil erosion,</t>
  </si>
  <si>
    <t>Acacia tortilis, Baobab</t>
  </si>
  <si>
    <t>Grows huge and shades crops, Competition with crops, limited returns</t>
  </si>
  <si>
    <t>Improves soil fertility, For medicinal purposes, Income generation, Controls soil erosion, Health and nutritional purposes</t>
  </si>
  <si>
    <t>Melia volkensii,</t>
  </si>
  <si>
    <t>Water scarcity, Lack of seedlings, Attack by Pests and diseases,Animal browsing</t>
  </si>
  <si>
    <t>9bd99110-3e0e-48bf-9684-368295da886e</t>
  </si>
  <si>
    <t>uuid:9bd99110-3e0e-48bf-9684-368295da886e</t>
  </si>
  <si>
    <t>-2.361003 37.991553 873.0999999999999 26.200000762939453</t>
  </si>
  <si>
    <t>Priscilla Nthenge</t>
  </si>
  <si>
    <t>Community health promoter</t>
  </si>
  <si>
    <t>Tamarindus indica (Tamarind) Melia Volkensii Neem (Azadirachta indica) Senna siamea  Acacia melifera Dalbergia melanoxylon Mango Avocado Passion fruit Lemon tree</t>
  </si>
  <si>
    <t>Health and nutritional purposes, source of income, Soil erosion control</t>
  </si>
  <si>
    <t>Health and nutritional purposes, source of income, Windbreaker</t>
  </si>
  <si>
    <t>Drought tolerant, source of income, extremely hard timber</t>
  </si>
  <si>
    <t>For shade, For timber,</t>
  </si>
  <si>
    <t>Medicinal, source of income, For shade</t>
  </si>
  <si>
    <t>Balanites aegyptica, Baobab, senna abbreviata, Acacia nilotica,</t>
  </si>
  <si>
    <t>Takes long to mature, self invasive</t>
  </si>
  <si>
    <t>Shade, income generation, Timber , Fuelwood, Soil erosion control, Windbreaker</t>
  </si>
  <si>
    <t>Neem, Melia volkensii, Mango, Lemon</t>
  </si>
  <si>
    <t>Attack by Pests , water scarcity, Lack of seedlings,</t>
  </si>
  <si>
    <t>9b4d941d-1ef3-4cd3-83d3-8a205a85dbd4</t>
  </si>
  <si>
    <t>uuid:9b4d941d-1ef3-4cd3-83d3-8a205a85dbd4</t>
  </si>
  <si>
    <t>Katulani</t>
  </si>
  <si>
    <t>-2.351478 37.960855 860.0999999999999 7.300000190734863</t>
  </si>
  <si>
    <t>mercy Bita</t>
  </si>
  <si>
    <t>Tamarindus indica (Tamarind) Melia Volkensii Neem (Azadirachta indica) Mango Lemon tree</t>
  </si>
  <si>
    <t>Health and nutritional purposes, source of income, Fuelwood</t>
  </si>
  <si>
    <t>Health and nutritional purposes, Source of income, soil erosion control</t>
  </si>
  <si>
    <t>Drought tolerant, Hardy timber, windbreaker</t>
  </si>
  <si>
    <t>Drought tolerant, medicinal, Hardy timber</t>
  </si>
  <si>
    <t>Fuelwood, For shade , Fruits,</t>
  </si>
  <si>
    <t>Grows huge and shades crops, limited returns</t>
  </si>
  <si>
    <t>Income generation, Reduce soil erosion, Improves soil fertility, Increase rainfall, Acts as windbreaker</t>
  </si>
  <si>
    <t>Neem, senna siamea, Tamarindus indica, Melia volkensii, Mango, Lemon</t>
  </si>
  <si>
    <t>Water scarcity, pests, Animal destruction</t>
  </si>
  <si>
    <t>030faf5d-0e6d-425c-a762-168998d1a740</t>
  </si>
  <si>
    <t>uuid:030faf5d-0e6d-425c-a762-168998d1a740</t>
  </si>
  <si>
    <t>-2.369168 37.991407 834 8.899999618530273</t>
  </si>
  <si>
    <t>Ambrose Mwangangi</t>
  </si>
  <si>
    <t>Tamarindus indica (Tamarind) Melia Volkensii Neem (Azadirachta indica) Senna siamea  Acacia tortilis Delonix regia Mango Moringa oleifera Passion fruit Lemon tree</t>
  </si>
  <si>
    <t>Improves soil fertility(Fallen leaves decomposes), generates income, Fruits</t>
  </si>
  <si>
    <t>Source of income, health and nutritional purposes, controls soil erosion</t>
  </si>
  <si>
    <t>Drought tolerant, Hardy timber, source of income</t>
  </si>
  <si>
    <t>Drought tolerant, Medicinal, Fuelwood and timber</t>
  </si>
  <si>
    <t>Fooder, For shade,Firewood</t>
  </si>
  <si>
    <t>Baobab, Acacia tortilis, Acacia nilotica, croton megalocarpus, Balanites aegyptica</t>
  </si>
  <si>
    <t>Limited returns, thorny, Grows huge shading crops</t>
  </si>
  <si>
    <t>Beautification, improves soil fertility,Acts as sound natural barriers, Increase rainfall, Timber, Fuelwood, Income generation, Health and nutritional purposes</t>
  </si>
  <si>
    <t>Mango, lemon , Melia volkensii, Neem</t>
  </si>
  <si>
    <t>Pests , Water scarcity</t>
  </si>
  <si>
    <t>b4b75a4b-69b5-4e6d-a234-7a0fc6a1575b</t>
  </si>
  <si>
    <t>uuid:b4b75a4b-69b5-4e6d-a234-7a0fc6a1575b</t>
  </si>
  <si>
    <t>Nyayo village</t>
  </si>
  <si>
    <t>-2.277528 38.027372 767.3000000000001 5.5</t>
  </si>
  <si>
    <t>James Nyamai</t>
  </si>
  <si>
    <t>Shade Timber Fruits Fuelwood Income generation Environmental reasons (erosion control, windbreak, etc)</t>
  </si>
  <si>
    <t>Melia Volkensii Neem (Azadirachta indica) Senna siamea  Senna abbreviata croton megalocarpus Mango Avocado Moringa oleifera Passion fruit Lemon tree</t>
  </si>
  <si>
    <t>Hardy timber, income generation, drought tolerant</t>
  </si>
  <si>
    <t>Health and nutritional purposes,  income generation, Fallen leaves improves soil fertility</t>
  </si>
  <si>
    <t>Fruits, income generation, controls soil erosion</t>
  </si>
  <si>
    <t>Medicinal Purposes, shade , windbreaker</t>
  </si>
  <si>
    <t>Croton megalocarpus</t>
  </si>
  <si>
    <t>Takes short time to mature, windbreaker, income generation , Used fuelwood</t>
  </si>
  <si>
    <t>Acacia nilotica, Acacia tortilis, Acacia melifera, baobab</t>
  </si>
  <si>
    <t>Limited economic returns</t>
  </si>
  <si>
    <t>Shade and cooling , Reduce noise,Beautify the environment , Increase land value , Fruits, For timber, income generation, Medicinal</t>
  </si>
  <si>
    <t>Melia volkensii, Terminalia brownii ⁰⁰</t>
  </si>
  <si>
    <t>Water scarcity , attack by termites s</t>
  </si>
  <si>
    <t>6d7f96ff-e770-4c20-815d-0ac4f2c5667b</t>
  </si>
  <si>
    <t>uuid:6d7f96ff-e770-4c20-815d-0ac4f2c5667b</t>
  </si>
  <si>
    <t>Kalingile village</t>
  </si>
  <si>
    <t>-2.270565 38.023947 767.8000000000001 12.100000381469727</t>
  </si>
  <si>
    <t>Lucia Ndinda</t>
  </si>
  <si>
    <t>Business lady</t>
  </si>
  <si>
    <t>Tamarindus indica (Tamarind) Melia Volkensii Neem (Azadirachta indica) Senna siamea  Dalbergia melanoxylon Mango Terminalia brownii Moringa oleifera Passion fruit Lemon tree</t>
  </si>
  <si>
    <t>Used for timber , Shade and fuelwood, income generation</t>
  </si>
  <si>
    <t>Used for timber , Acts as Windbreaker, Reduce temperatures around home</t>
  </si>
  <si>
    <t>Moringa Oleifera</t>
  </si>
  <si>
    <t>Leaves are used as food, Medicinal, Soil erosion control</t>
  </si>
  <si>
    <t>Fruits, Fuelwood, For shade</t>
  </si>
  <si>
    <t>Croton megalocarpus,Dalbergia melanoxyon, Combretum brownii,</t>
  </si>
  <si>
    <t>Not drought tolerant at seedling stage, Extremely slow growth, Limited known uses.</t>
  </si>
  <si>
    <t>Group distribution Through local leaders</t>
  </si>
  <si>
    <t>Income generation,  For shade,Reduces soil erosion ,Beautification , Windbreaker,Improves soil fertility</t>
  </si>
  <si>
    <t>Melia volkensii, Neem, Mango, Pawpaw</t>
  </si>
  <si>
    <t>Water scarcity, attack by pests</t>
  </si>
  <si>
    <t>58b88b96-6308-40ba-b40d-bac2b7b6f233</t>
  </si>
  <si>
    <t>uuid:58b88b96-6308-40ba-b40d-bac2b7b6f233</t>
  </si>
  <si>
    <t>Kangei Village</t>
  </si>
  <si>
    <t>-2.267655 38.031067 757.9000000000001 9.399999618530273</t>
  </si>
  <si>
    <t>Ruth Sammy</t>
  </si>
  <si>
    <t>Tamarindus indica (Tamarind) Melia Volkensii Neem (Azadirachta indica) Senna siamea  Dalbergia melanoxylon Mango Avocado Terminalia brownii Passion fruit Lemon tree</t>
  </si>
  <si>
    <t>Hardy timber, Shade and cooling, windbreaker</t>
  </si>
  <si>
    <t>Drought tolerant, Good for timber, Shade</t>
  </si>
  <si>
    <t>Fruits, source of income, control soil erosion</t>
  </si>
  <si>
    <t>Fodder, For shade , Acts as windbreaker</t>
  </si>
  <si>
    <t>Fruits , Timber and Fuelwood, Used for shade</t>
  </si>
  <si>
    <t>All Acacia species</t>
  </si>
  <si>
    <t>Limited income returns, Takes long to mature</t>
  </si>
  <si>
    <t>Improves soil fertility, income generation,</t>
  </si>
  <si>
    <t>Melia volkensii, Neem, Mango, Lucena lueca . 88</t>
  </si>
  <si>
    <t>Low and reliable rainfall, Scarcity and high cost of water, Browsing of livestock, Termites damage</t>
  </si>
  <si>
    <t>dde0a989-e5db-430d-b8ac-27d15a95bb3f</t>
  </si>
  <si>
    <t>uuid:dde0a989-e5db-430d-b8ac-27d15a95bb3f</t>
  </si>
  <si>
    <t>Maluini village</t>
  </si>
  <si>
    <t>-2.404925 38.085235 746 77.9000015258789</t>
  </si>
  <si>
    <t>Juliana Kioko</t>
  </si>
  <si>
    <t>Tamarindus indica (Tamarind) Melia Volkensii Senna siamea  Acacia melifera croton megalocarpus Mango Avocado Terminalia brownii Passion fruit Lemon tree</t>
  </si>
  <si>
    <t>Source of income, Fruits, Health and nutritional purposes, Fallen leaves improves soil fertility</t>
  </si>
  <si>
    <t>Fruits , Income generation</t>
  </si>
  <si>
    <t>Passion</t>
  </si>
  <si>
    <t>Fruits , income generation</t>
  </si>
  <si>
    <t>Timber, windbreaker, shade and cooling</t>
  </si>
  <si>
    <t>For shade, Takes short time to attain maturity, source of income</t>
  </si>
  <si>
    <t>Acacia tortilis, Baobab, Acacia nilotica, Acacia elatior</t>
  </si>
  <si>
    <t>Slow growing, limited income returns</t>
  </si>
  <si>
    <t>Fruits, income generation, Shade, Windbreaker, income generation, Shade, soil  erosion control, Timber</t>
  </si>
  <si>
    <t>Dalbergia melanoxyon, Melia volkensii, terminalia brownii, Neem, Acacia melifera, Mango, Avocado, Passion fruits</t>
  </si>
  <si>
    <t>Pests and diseases  , high temperature leading to fast water loss, Browsing by livestock, 00,0</t>
  </si>
  <si>
    <t>c250f99f-d5dc-46cd-9d17-43538ee54802</t>
  </si>
  <si>
    <t>uuid:c250f99f-d5dc-46cd-9d17-43538ee54802</t>
  </si>
  <si>
    <t>Masongeleni village</t>
  </si>
  <si>
    <t>-2.406017 38.092958 752.4 16.5</t>
  </si>
  <si>
    <t>Mary kioko</t>
  </si>
  <si>
    <t>Tamarindus indica (Tamarind) Neem (Azadirachta indica) Senna siamea  Senna abbreviata Dalbergia melanoxylon croton megalocarpus Mango Terminalia brownii Moringa oleifera</t>
  </si>
  <si>
    <t>Drought tolerant, Timber, windbreaker</t>
  </si>
  <si>
    <t>Timber, windbreaker, soil erosion control</t>
  </si>
  <si>
    <t>Medicinal, Fuelwood, Shade</t>
  </si>
  <si>
    <t>Leaves used as food and medicinal purposes,</t>
  </si>
  <si>
    <t>Good for fodder, windbreaker, shade</t>
  </si>
  <si>
    <t>All Acacia species , Baobab</t>
  </si>
  <si>
    <t>Maturity period is long, Grows huge shading crops</t>
  </si>
  <si>
    <t>Income generation, control soil erosion, Health and nutritional purposes,beautify the environment ,Fallen leaves improves soil fertility</t>
  </si>
  <si>
    <t>Melia volkensii, Neem, Terminalia brownii</t>
  </si>
  <si>
    <t>Water scarcity, high temperatures which leads fast water loss</t>
  </si>
  <si>
    <t>dc969cda-a833-459d-8eee-fa02bf558783</t>
  </si>
  <si>
    <t>uuid:dc969cda-a833-459d-8eee-fa02bf558783</t>
  </si>
  <si>
    <t>Maiyani village</t>
  </si>
  <si>
    <t>-2.40063 38.096963 733.8000000000001 9.399999618530273</t>
  </si>
  <si>
    <t>Patrick Kyule</t>
  </si>
  <si>
    <t>Tamarindus indica (Tamarind) Melia Volkensii Neem (Azadirachta indica) Senna siamea  Acacia melifera Dalbergia melanoxylon croton megalocarpus Mango Terminalia brownii Moringa oleifera</t>
  </si>
  <si>
    <t>Drought tolerant, hardy timber,</t>
  </si>
  <si>
    <t>Medicinal uses, Good for shade and windbreak, Tolerant to drought</t>
  </si>
  <si>
    <t>Health and nutritional purposes, income generation, controls soil erosion</t>
  </si>
  <si>
    <t>Medicinal, Used for Fuelwood and shade, Durable timber</t>
  </si>
  <si>
    <t>Moringa</t>
  </si>
  <si>
    <t>Medicinal, Leaves are used as food, Requires little water</t>
  </si>
  <si>
    <t>Baobab, Acacia nilotica, Acacia tortilis senna abbreviata</t>
  </si>
  <si>
    <t>Grows huge shading crops,Extremely slow growth rate,</t>
  </si>
  <si>
    <t>For shade,  soil erosion control, income generation, Fuelwood, Fruits, trees acts as natural sound barriers, reduce temperatures around homes</t>
  </si>
  <si>
    <t>Melia volkensii, Neem , Mango, Tamarindus indica, Acacia melifera</t>
  </si>
  <si>
    <t>Water scarcity, Pests attacks and termites, low and unreliable rainfall</t>
  </si>
  <si>
    <t>09b34412-9a68-46f6-a40b-0631e1b1fc01</t>
  </si>
  <si>
    <t>uuid:09b34412-9a68-46f6-a40b-0631e1b1fc01</t>
  </si>
  <si>
    <t>-2.370273 37.990424 880.5 91.56600189208984</t>
  </si>
  <si>
    <t>Janet Muthoki</t>
  </si>
  <si>
    <t>Tamarindus indica (Tamarind) Melia Volkensii Neem (Azadirachta indica) Senna siamea  Senna abbreviata Dalbergia melanoxylon croton megalocarpus Mango Terminalia brownii Moringa oleifera</t>
  </si>
  <si>
    <t>Hardy wood, drought tolerant,  Acts as Windbreaker</t>
  </si>
  <si>
    <t>Medicinal, Provides firewood and charcoal, Shade and cooling</t>
  </si>
  <si>
    <t>Takes short time to mature,  used  for shade, Used as fooder</t>
  </si>
  <si>
    <t>Leaves are used as food and medicine, Controls soil erosion, Requires little water</t>
  </si>
  <si>
    <t>Takes short time to mature, Used for firewood and charcoal</t>
  </si>
  <si>
    <t>Baobab, All Acacia species</t>
  </si>
  <si>
    <t>Extremely slow growth rate, grows huge shading crops</t>
  </si>
  <si>
    <t>Shade , Fuelwood, improves soil fertility, income generation, Fruits</t>
  </si>
  <si>
    <t>Neem, Melia volkensii</t>
  </si>
  <si>
    <t>Water scarcity, low and unreliable rainfall, pests</t>
  </si>
  <si>
    <t>46d0a652-24e6-4aa7-9a49-6b50a9efb806</t>
  </si>
  <si>
    <t>uuid:46d0a652-24e6-4aa7-9a49-6b50a9efb806</t>
  </si>
  <si>
    <t>-2.371818 37.98838 821.0999999999999 8.699999809265137</t>
  </si>
  <si>
    <t>Faustina Ngina</t>
  </si>
  <si>
    <t>Hardy wood, Resistance to pests,</t>
  </si>
  <si>
    <t>Strong timber, Toralates high hash conditions , Used for Fuelwood and medicine</t>
  </si>
  <si>
    <t>Drought tolerant, Good for shade and windbreak</t>
  </si>
  <si>
    <t>Leaves are used as food , Medicinal , Require little rainfall</t>
  </si>
  <si>
    <t>Source of income, Health and nutritional purposes</t>
  </si>
  <si>
    <t>Baobab,</t>
  </si>
  <si>
    <t>Slow growth rate</t>
  </si>
  <si>
    <t>Reduce soil erosion, Timber and Fuelwood, Shade and cooling, Fruits</t>
  </si>
  <si>
    <t>Melia volkensii, Neem , Terminalia brownii, 1</t>
  </si>
  <si>
    <t>Harsh climate conditions, water scarcity, attack by termites,</t>
  </si>
  <si>
    <t>46614259-ad9b-4ec3-9105-07e7c3b41473</t>
  </si>
  <si>
    <t>uuid:46614259-ad9b-4ec3-9105-07e7c3b41473</t>
  </si>
  <si>
    <t>Kyumani A</t>
  </si>
  <si>
    <t>-2.421028 38.094892 749.8000000000001 11.600000381469727</t>
  </si>
  <si>
    <t>William Munyao</t>
  </si>
  <si>
    <t>Tamarindus indica (Tamarind) Melia Volkensii Neem (Azadirachta indica) Senna siamea  Acacia tortilis Mango Terminalia brownii Moringa oleifera Passion fruit Lemon tree</t>
  </si>
  <si>
    <t>Source of income, Health and nutritional purposes, Fallen leaves decomposes to improve soil fertility</t>
  </si>
  <si>
    <t>Health and nutritional purposes, source of income, control Soil erosion</t>
  </si>
  <si>
    <t>Terminalia prunoides</t>
  </si>
  <si>
    <t>Hard timber, used for Fuelwood and shade , acts as windbreaker</t>
  </si>
  <si>
    <t>Medicinal, Timber and Fuelwood, shade</t>
  </si>
  <si>
    <t>Fruits, Nutritional purposes,  Shade</t>
  </si>
  <si>
    <t>Limited economic returns, Grows huge shading crops</t>
  </si>
  <si>
    <t>Timber and shade, Income generation, Fruits , soil erosion control, Improves soil fertility, Noise control</t>
  </si>
  <si>
    <t>Mango, Lemon, Terminalia prunoides, Terminalia brownii, Neem, Acacia tortilis</t>
  </si>
  <si>
    <t>Livestock browsing, Unreliable rainfall, water scarcity, termites</t>
  </si>
  <si>
    <t>5bbc4581-714e-41b4-88f2-e9f756797389</t>
  </si>
  <si>
    <t>uuid:5bbc4581-714e-41b4-88f2-e9f756797389</t>
  </si>
  <si>
    <t>-2.400185 38.09779 745.4 8.199999809265137</t>
  </si>
  <si>
    <t>Janniffer Syombua</t>
  </si>
  <si>
    <t>Casual worker</t>
  </si>
  <si>
    <t>Tamarindus indica (Tamarind) Melia Volkensii Neem (Azadirachta indica) Senna siamea  Acacia tortilis Acacia melifera Dalbergia melanoxylon Mango Terminalia brownii Lemon tree</t>
  </si>
  <si>
    <t>Hardy timber, source of income , Shade</t>
  </si>
  <si>
    <t>Fodder, source of income, Used for Fuelwood</t>
  </si>
  <si>
    <t>Acacia melifera</t>
  </si>
  <si>
    <t>Good for fence, Used for Fuelwood</t>
  </si>
  <si>
    <t>Medicinal,</t>
  </si>
  <si>
    <t>Grows huge shading crops , Extremely slow growth rate, limited economic returns</t>
  </si>
  <si>
    <t>Controls soil erosion, Timber and poles, Fuelwood and shade, Fruits</t>
  </si>
  <si>
    <t>Melia volkensii, Neem, Acacia tortilis, dxx444</t>
  </si>
  <si>
    <t>Water scarcity, Extreme harsh weather conditions, Termites</t>
  </si>
  <si>
    <t>5c23807e-c8db-44f2-9465-4f7f04bb9df3</t>
  </si>
  <si>
    <t>uuid:5c23807e-c8db-44f2-9465-4f7f04bb9df3</t>
  </si>
  <si>
    <t>Kalembwani village</t>
  </si>
  <si>
    <t>-2.390535 37.957903 743.6 7</t>
  </si>
  <si>
    <t>Eunice Mango</t>
  </si>
  <si>
    <t>KEFRI Local nursery NGO Self-raised</t>
  </si>
  <si>
    <t>Melia Volkensii Neem (Azadirachta indica) Acacia melifera Dalbergia melanoxylon croton megalocarpus Mango Avocado Balanites aegyptiaca Terminalia brownii Passion fruit Lemon tree</t>
  </si>
  <si>
    <t>Income generation, Fruits , Shade</t>
  </si>
  <si>
    <t>Income generation, Fruits, Medicinal</t>
  </si>
  <si>
    <t>Income generation, Medicinal, Fruit</t>
  </si>
  <si>
    <t>Hardy wood, shade, income generation</t>
  </si>
  <si>
    <t>Cashew nuts</t>
  </si>
  <si>
    <t>Income generation, medicinal, Fruits</t>
  </si>
  <si>
    <t>Acacia tortilis, Senna abbreviata, senna siamea, Baobab, Tamarindus indica</t>
  </si>
  <si>
    <t>Soil erosion control, Fruits , shade, Timber, income generation</t>
  </si>
  <si>
    <t>Mango, Lemon, Avocado,</t>
  </si>
  <si>
    <t>Harsh weather conditions, water scarcity, unreliable rainfall</t>
  </si>
  <si>
    <t>b487b62e-77df-43e8-8958-0e9ffde5436d</t>
  </si>
  <si>
    <t>uuid:b487b62e-77df-43e8-8958-0e9ffde5436d</t>
  </si>
  <si>
    <t>Kalembwani Village</t>
  </si>
  <si>
    <t>-2.395342 37.965102 867.8 5.199999809265137</t>
  </si>
  <si>
    <t>Richard Musee</t>
  </si>
  <si>
    <t>KEFRI Local nursery NGO</t>
  </si>
  <si>
    <t>Melia Volkensii Melia azederach Neem (Azadirachta indica) Senna siamea  Acacia tortilis Acacia melifera Mango Terminalia brownii Moringa oleifera Lemon tree</t>
  </si>
  <si>
    <t>Drought tolerant , Hardy wood , Not affected by pests</t>
  </si>
  <si>
    <t>Melia Azedarach</t>
  </si>
  <si>
    <t>Timber, Shade , Firewood</t>
  </si>
  <si>
    <t>Drought tolerant, windbreaker, Timber</t>
  </si>
  <si>
    <t>Fodder, Firewood, Shade</t>
  </si>
  <si>
    <t>Health and nutritional purposes, income generation</t>
  </si>
  <si>
    <t>Baobab, Theivetia Perivera</t>
  </si>
  <si>
    <t>Baobab Grows huge shading crops, Extremely slow growth rate, limited economic returns</t>
  </si>
  <si>
    <t>Improves soil fertility, soil fertility, Timber, windbreaker,</t>
  </si>
  <si>
    <t>Melia volkensii, Neem, senna siamea, Melia Azedarach</t>
  </si>
  <si>
    <t>Unreliable rainfall, water scarcity, harsh weather conditions</t>
  </si>
  <si>
    <t>89f7ed59-a399-4d68-9e64-33fee5bc7ac4</t>
  </si>
  <si>
    <t>uuid:89f7ed59-a399-4d68-9e64-33fee5bc7ac4</t>
  </si>
  <si>
    <t>-2.401513 38.09814787 795.9 16.700000276293945</t>
  </si>
  <si>
    <t>Paul  Kyule</t>
  </si>
  <si>
    <t>Tamarindus indica (Tamarind) Melia Volkensii Neem (Azadirachta indica) Senna siamea  Acacia tortilis Acacia melifera Dalbergia melanoxylon Mango Terminalia brownii Moringa oleifera</t>
  </si>
  <si>
    <t>Hardy wood, Drought tolerant, Not attacked by pests</t>
  </si>
  <si>
    <t>Medicinal, shade , windbreaker</t>
  </si>
  <si>
    <t>Acacia Melifera</t>
  </si>
  <si>
    <t>Good for fence, Fuelwood and Timber , soil erosion control</t>
  </si>
  <si>
    <t>Fooder, soil erosion control, Fuelwood</t>
  </si>
  <si>
    <t>Temarindus indica</t>
  </si>
  <si>
    <t>Fruits , Good for shade , Fuelwood</t>
  </si>
  <si>
    <t>Soil erosion control, Controls noise ,</t>
  </si>
  <si>
    <t>Melia volkensii, Neem, Mango</t>
  </si>
  <si>
    <t>Harsh weather conditions, water scarcity, termites</t>
  </si>
  <si>
    <t>49b63502-150b-4493-917a-0cfb0c2b2049</t>
  </si>
  <si>
    <t>uuid:49b63502-150b-4493-917a-0cfb0c2b2049</t>
  </si>
  <si>
    <t>Salama village</t>
  </si>
  <si>
    <t>-2.448337 37.966603 925.8 8.399999618530273</t>
  </si>
  <si>
    <t>Stephen Nzioka</t>
  </si>
  <si>
    <t>Tamarindus indica (Tamarind) Melia Volkensii Neem (Azadirachta indica) Senna siamea  Acacia melifera Dalbergia melanoxylon Mango Terminalia brownii Passion fruit Lemon tree</t>
  </si>
  <si>
    <t>Hardy wood timber, drought tolerant, Resistance to pests</t>
  </si>
  <si>
    <t>Shade, Timber, windbreaker</t>
  </si>
  <si>
    <t>Health and nutritional purposes, control soil erosion, Fuelwood</t>
  </si>
  <si>
    <t>Medicinal, Timber, Fuelwood, Shade</t>
  </si>
  <si>
    <t>Health and nutritional purposes, Firewood , control soil erosion</t>
  </si>
  <si>
    <t>Baobabs</t>
  </si>
  <si>
    <t>Limited economic returns,</t>
  </si>
  <si>
    <t>Soil erosion control, Fruits, For shade , Timber , Income generation</t>
  </si>
  <si>
    <t>Melia volkensii, Neem, Senna siamea</t>
  </si>
  <si>
    <t>Unreliable rainfall, Termites, Animal damage, Extreme weather conditions</t>
  </si>
  <si>
    <t>96200af9-a2f0-49b1-8025-536e3f3d0ff7</t>
  </si>
  <si>
    <t>uuid:96200af9-a2f0-49b1-8025-536e3f3d0ff7</t>
  </si>
  <si>
    <t>-2.402393 38.088343 743.8000000000001 9.899999618530273</t>
  </si>
  <si>
    <t>Mutono Mutindi</t>
  </si>
  <si>
    <t>Tamarindus indica (Tamarind) Melia Volkensii Neem (Azadirachta indica) Senna siamea  Dalbergia melanoxylon croton megalocarpus Mango Terminalia brownii Moringa oleifera Passion fruit</t>
  </si>
  <si>
    <t>Drought tolerant, windbreaker, For shade and cooling</t>
  </si>
  <si>
    <t>Leaves are used for food and medicinal, Soil erosion control</t>
  </si>
  <si>
    <t>Fruits, Shade , Timber and Fuelwood</t>
  </si>
  <si>
    <t>For fruits, income generation, soil erosion control</t>
  </si>
  <si>
    <t>Baobab, all Acacia species</t>
  </si>
  <si>
    <t>Long maturity level, limited returns</t>
  </si>
  <si>
    <t>Shade, Fuelwood and Timber , income</t>
  </si>
  <si>
    <t>Neem, Melia volkensii, Mango,</t>
  </si>
  <si>
    <t>Water scarcity, Termites damage , high temperature leading to fast water loss</t>
  </si>
  <si>
    <t>79ac22f5-21a8-40cc-87d4-63e5d901b034</t>
  </si>
  <si>
    <t>uuid:79ac22f5-21a8-40cc-87d4-63e5d901b034</t>
  </si>
  <si>
    <t>-2.415952 38.08039 772.9000000000001 6.199999809265137</t>
  </si>
  <si>
    <t>Kyaka musyimi</t>
  </si>
  <si>
    <t>Tamarindus indica (Tamarind) Melia Volkensii Melia azederach Neem (Azadirachta indica) Senna siamea  Dalbergia melanoxylon croton megalocarpus Mango Terminalia brownii Moringa oleifera</t>
  </si>
  <si>
    <t>Hardy timber,  Resistance to pests, Drought tolerant</t>
  </si>
  <si>
    <t>Drought tolerant, Medicinal, Good for shade and windbreak</t>
  </si>
  <si>
    <t>Leaves used as food , medicinal, control soil erosion</t>
  </si>
  <si>
    <t>Fruits, income generation, Fuelwood and shade</t>
  </si>
  <si>
    <t>Medicinal, Tolerates harsh conditions,Good for Fuelwood and Timber, Shade ,</t>
  </si>
  <si>
    <t>Dalbergia melanoxyon, baobab</t>
  </si>
  <si>
    <t>Extremely slow growth rate</t>
  </si>
  <si>
    <t>Through local leaders Through school/youth groups</t>
  </si>
  <si>
    <t>Fruits , income generation, Shade and windbreak, soil erosion control, Fuelwood and Timber</t>
  </si>
  <si>
    <t>Melia volkensii, Neem,senna siamea</t>
  </si>
  <si>
    <t>harsh weather conditions, Water scarcity, Termites</t>
  </si>
  <si>
    <t>2bfc2686-7306-4258-81cd-fcf75d77dbd7</t>
  </si>
  <si>
    <t>uuid:2bfc2686-7306-4258-81cd-fcf75d77dbd7</t>
  </si>
  <si>
    <t>Usalama village</t>
  </si>
  <si>
    <t>-2.458397 37.968317 952.1999999999999 10.699999809265137</t>
  </si>
  <si>
    <t>Mwanza Nzioka</t>
  </si>
  <si>
    <t>Pastor</t>
  </si>
  <si>
    <t>Tamarindus indica (Tamarind) Melia Volkensii Melia azederach Neem (Azadirachta indica) Senna siamea  Acacia melifera Dalbergia melanoxylon Mango Terminalia brownii Passion fruit</t>
  </si>
  <si>
    <t>Hard timber, Not attacked by pests, Drought tolerant</t>
  </si>
  <si>
    <t>Good for shade, Medicinal,Drought tolerant, Hard timber</t>
  </si>
  <si>
    <t>Medicinal, Drought tolerant, Hard timber</t>
  </si>
  <si>
    <t>Good for fence , For Fuelwood</t>
  </si>
  <si>
    <t>Baobab, croton megalocarpus, Theivetia Perivera</t>
  </si>
  <si>
    <t>Fruits, Shade,  Fuelwood, Soil erosion control, Trees controls noise,</t>
  </si>
  <si>
    <t>Neem, Melia volkensii, Mango, Terminalia brownii</t>
  </si>
  <si>
    <t>Unreliable rainfall, attack by pests, Water scarcity</t>
  </si>
  <si>
    <t>4095317c-1f34-48d8-92ba-1f73089fa790</t>
  </si>
  <si>
    <t>uuid:4095317c-1f34-48d8-92ba-1f73089fa790</t>
  </si>
  <si>
    <t>Tthilani village</t>
  </si>
  <si>
    <t>-2.445298 37.96678 878.6999999999999 7.199999809265137</t>
  </si>
  <si>
    <t>Henry Mulei</t>
  </si>
  <si>
    <t>farmer</t>
  </si>
  <si>
    <t>Source of income, Health and nutritional purposes, Fallen leaves improves soil fertility</t>
  </si>
  <si>
    <t>Hardy wood, Drought tolerant</t>
  </si>
  <si>
    <t>Medicinal Purposes, Good for shade , Hard timber</t>
  </si>
  <si>
    <t>Medicinal purposes, Good for shade, Hard wood.</t>
  </si>
  <si>
    <t>Medicinal Purposes, Fruits, Income generation</t>
  </si>
  <si>
    <t>Extreme slow growth rate</t>
  </si>
  <si>
    <t>Timber, Fruits, Soil erosion control, Fuelwood</t>
  </si>
  <si>
    <t>Neem, Melia volkensii, terminalia brownii, Mango, Senna siamea</t>
  </si>
  <si>
    <t>Water scarcity , limited knowledge, Limited financial resources, Termites damage to younger seedlings</t>
  </si>
  <si>
    <t>8328493a-36de-4535-90ca-82735a03cb8c</t>
  </si>
  <si>
    <t>uuid:8328493a-36de-4535-90ca-82735a03cb8c</t>
  </si>
  <si>
    <t>Nthilani  village</t>
  </si>
  <si>
    <t>-2.445612 37.963035 942.6999999999999 8.600000381469727</t>
  </si>
  <si>
    <t>Bonny Mutiso</t>
  </si>
  <si>
    <t>Tamarindus indica (Tamarind) Melia Volkensii Neem (Azadirachta indica) Senna siamea  Acacia melifera Dalbergia melanoxylon Mango Terminalia brownii Moringa oleifera Passion fruit</t>
  </si>
  <si>
    <t>Income generation, Drought tolerant, pests resistance</t>
  </si>
  <si>
    <t>Medicinal Purposes, Hard wood, Good for shade</t>
  </si>
  <si>
    <t>Source of income, Shade, Fuelwood</t>
  </si>
  <si>
    <t>Source of income, Fruits, Nutritional purposes</t>
  </si>
  <si>
    <t>For fodder, For shade, Fuelwood</t>
  </si>
  <si>
    <t>Grows huge shading crop, slow growth rate</t>
  </si>
  <si>
    <t>Fruits, For shade, Fodder, Fuelwood, soil erosion control, Improves soil fertility</t>
  </si>
  <si>
    <t>Melia volkensii, Neem , Mango</t>
  </si>
  <si>
    <t>Water scarcity, Termites attack young seedlings, high temperature lead to high rate  loss of water</t>
  </si>
  <si>
    <t>d5d34680-c2bb-4115-a171-a2a4caaf030f</t>
  </si>
  <si>
    <t>uuid:d5d34680-c2bb-4115-a171-a2a4caaf030f</t>
  </si>
  <si>
    <t>Nthilani village</t>
  </si>
  <si>
    <t>-2.44491 37.965535 935.1999999999999 99.69999694824219</t>
  </si>
  <si>
    <t>John Mutuku</t>
  </si>
  <si>
    <t>Shade Timber Fodder Fuelwood Income generation Environmental reasons (erosion control, windbreak, etc)</t>
  </si>
  <si>
    <t>Tamarindus indica (Tamarind) Melia Volkensii Neem (Azadirachta indica) Senna siamea  Dalbergia melanoxylon Mango Terminalia brownii Moringa oleifera Passion fruit</t>
  </si>
  <si>
    <t>Income generation, Hard timber, drought tolerant</t>
  </si>
  <si>
    <t>Medicinal Purposes, resistance to pests, tolerant to drought</t>
  </si>
  <si>
    <t>Provides firewood and charcoal,Animal fodder, Extremely drought tolerant</t>
  </si>
  <si>
    <t>Grevillea robusta</t>
  </si>
  <si>
    <t>Good for agroforestry, Fast growing ,</t>
  </si>
  <si>
    <t>Limited economic returns s</t>
  </si>
  <si>
    <t>Fruits, income generation, Fuelwood, shade, Improves soil fertility, control soil erosion</t>
  </si>
  <si>
    <t>Neem, Mango, Melia volkensii, Terminalia brownii</t>
  </si>
  <si>
    <t>High temperature leading to fast water loss, water scarcity, limited knowledge on tree management, unreliable rainfall</t>
  </si>
  <si>
    <t>eafc6824-a979-420f-ab40-d300ee54454b</t>
  </si>
  <si>
    <t>uuid:eafc6824-a979-420f-ab40-d300ee54454b</t>
  </si>
  <si>
    <t>-2.451103 37.966365 951 9.800000190734863</t>
  </si>
  <si>
    <t>James Munyao</t>
  </si>
  <si>
    <t>Shade Timber Fodder Fruits Fuelwood Income generation Environmental reasons (erosion control, windbreak, etc)</t>
  </si>
  <si>
    <t>Good for agroforestry, Hardy wood, drought tolerant</t>
  </si>
  <si>
    <t>Medicinal Purposes, tolerant to drought, Fast growing</t>
  </si>
  <si>
    <t>For medicinal purposes, tolerant to drought, Hardy wood</t>
  </si>
  <si>
    <t>Passion fruits</t>
  </si>
  <si>
    <t>High nutritional value, require very  little water, Fast growing in dry areas</t>
  </si>
  <si>
    <t>All Acacia species ,baobab</t>
  </si>
  <si>
    <t>Extreme slow growth rate, Not good for agroforestry f</t>
  </si>
  <si>
    <t>Income generation, Shade, soil erosion control, Health and nutritional purposes, Timber, Fuelwood 8</t>
  </si>
  <si>
    <t>Water scarcity, unreliable rainfall, Extreme harsh weather condition(Drought )</t>
  </si>
  <si>
    <t>6804dbf3-9041-47b1-a46b-220158274c05</t>
  </si>
  <si>
    <t>uuid:6804dbf3-9041-47b1-a46b-220158274c05</t>
  </si>
  <si>
    <t>-2.448325 37.968552 915.5 4.599999904632568</t>
  </si>
  <si>
    <t>Tabitha Sandu</t>
  </si>
  <si>
    <t>Tamarindus indica (Tamarind) Melia Volkensii Melia azederach Neem (Azadirachta indica) Senna siamea  Dalbergia melanoxylon Mango Terminalia brownii Moringa oleifera Passion fruit</t>
  </si>
  <si>
    <t>Drought tolerant, Good for shade, Hard wood</t>
  </si>
  <si>
    <t>Hardy wood, Drought tolerant,  Good for shade</t>
  </si>
  <si>
    <t>Medicinal, Drought tolerant, Hard wood</t>
  </si>
  <si>
    <t>Hardy wood, Good for shade</t>
  </si>
  <si>
    <t>Grows huge shading crops, limited economic returns</t>
  </si>
  <si>
    <t>Fruits, Timber, source of income, Shade</t>
  </si>
  <si>
    <t>Water scarcity, unreliable rainfall</t>
  </si>
  <si>
    <t>9b7ffbf2-f404-461e-b3e0-80251a6ae2b1</t>
  </si>
  <si>
    <t>uuid:9b7ffbf2-f404-461e-b3e0-80251a6ae2b1</t>
  </si>
  <si>
    <t>-2.449547 37.966733 915.5 5.900000095367432</t>
  </si>
  <si>
    <t>Jacinta Musyoka</t>
  </si>
  <si>
    <t xml:space="preserve">Livestock keeping  Horticulture  Crop farming  Bee keeping </t>
  </si>
  <si>
    <t>Good for shade, Hard timber, Pests resistance</t>
  </si>
  <si>
    <t>Hardy timber, Drought tolerant, fast growing</t>
  </si>
  <si>
    <t>For fodder, high growth rate, Used for Fuelwood</t>
  </si>
  <si>
    <t>Nutritional purposes,Source of income, high growth rate</t>
  </si>
  <si>
    <t>Medicinal, Drought resistance, Hard timberf</t>
  </si>
  <si>
    <t>Soil erosion control, Fruits, Timber, Income generation, Noise control</t>
  </si>
  <si>
    <t>Melia volkensii, Neem, senna siamea, Terminalia brownii, Terminalia prunoides</t>
  </si>
  <si>
    <t>Unreliable rainfall, Termites, Extreme harsh weather conditions (Drought), Water scarcity</t>
  </si>
  <si>
    <t>8f4d927a-5e21-4b1b-88f9-8d87046842cb</t>
  </si>
  <si>
    <t>uuid:8f4d927a-5e21-4b1b-88f9-8d87046842cb</t>
  </si>
  <si>
    <t>-2.448718 37.96829 915.5 5.5</t>
  </si>
  <si>
    <t>Musyoka martin</t>
  </si>
  <si>
    <t>Tamarindus indica (Tamarind) Melia Volkensii Neem (Azadirachta indica) Senna siamea  Dalbergia melanoxylon Mango Moringa oleifera Passion fruit Lemon tree</t>
  </si>
  <si>
    <t>Hardy timber, income generation, Drought tolerant</t>
  </si>
  <si>
    <t>Fruits, income generation</t>
  </si>
  <si>
    <t>Health and nutritional purposes</t>
  </si>
  <si>
    <t>Hard timber, Shade,  Windbreaker</t>
  </si>
  <si>
    <t>Medicinal, Soil erosion control</t>
  </si>
  <si>
    <t>Grows huge shading crops</t>
  </si>
  <si>
    <t>Fruits, source of income, Some are medicinal, Shade, Fuelwood, Timber</t>
  </si>
  <si>
    <t>Melia volkensii, Neem , Terminalia brownii,</t>
  </si>
  <si>
    <t>Unreliable rainfall, Water scarcity</t>
  </si>
  <si>
    <t>78b785be-f53b-4e1a-a048-b111334d9253</t>
  </si>
  <si>
    <t>uuid:78b785be-f53b-4e1a-a048-b111334d9253</t>
  </si>
  <si>
    <t>-2.44867 37.968148 809.6 12.199999809265137</t>
  </si>
  <si>
    <t>Joseph Musyoni</t>
  </si>
  <si>
    <t>Tamarindus indica (Tamarind) Melia Volkensii Melia azederach Neem (Azadirachta indica) Senna siamea  Dalbergia melanoxylon Mango Terminalia brownii Passion fruit</t>
  </si>
  <si>
    <t>Hardy wood, Resistance to pests, Shade</t>
  </si>
  <si>
    <t>Drought tolerant, shade, windbreaker</t>
  </si>
  <si>
    <t>Medicinal, hard timber, drought tolerant</t>
  </si>
  <si>
    <t>Health and nutritional purposes, control soil erosion, Fallen leaves decomposes to improve soil fertility</t>
  </si>
  <si>
    <t>Slow growth rate, limited economic returns</t>
  </si>
  <si>
    <t>Income generation, windbreaker, Fruits, Control soil erosion</t>
  </si>
  <si>
    <t>Neem, Melia volkensii, terminalia brownii, Senna siamea</t>
  </si>
  <si>
    <t>Pests , Extreme weather conditions (droughts), Water scarcity</t>
  </si>
  <si>
    <t>0f26195e-0e4c-436f-8c4e-e0ea22f5727b</t>
  </si>
  <si>
    <t>uuid:0f26195e-0e4c-436f-8c4e-e0ea22f5727b</t>
  </si>
  <si>
    <t>-2.448403 37.965398 945.1999999999999 76.9000015258789</t>
  </si>
  <si>
    <t>Mutua Kyongo</t>
  </si>
  <si>
    <t>Technician</t>
  </si>
  <si>
    <t>Crop farming Livestock keeping Other</t>
  </si>
  <si>
    <t>Shade Timber Fodder Fruits Boundary marking Income generation</t>
  </si>
  <si>
    <t>Hardy timber and valuable, resistance to pests, drought tolerant</t>
  </si>
  <si>
    <t>Fast growing, For medicinal purposes,Provides firewood and charcoal</t>
  </si>
  <si>
    <t>For nutritional purposes, Income generation</t>
  </si>
  <si>
    <t>Hard timber, Firewood and charcoal, Medicinal Purposes, drought tolerant, Good for shade</t>
  </si>
  <si>
    <t>Fast growth rate, For nutritional purposes, Income generation</t>
  </si>
  <si>
    <t>Acacia species</t>
  </si>
  <si>
    <t>Not good for agroforestry, Slow growth rate</t>
  </si>
  <si>
    <t>Fruits, Timber, Fuelwood, improves soil fertility, soil erosion control</t>
  </si>
  <si>
    <t>Unreliable rainfall, water scarcity, limited financial resources, Pests</t>
  </si>
  <si>
    <t>33a1b95b-5bfb-4ede-97ee-db4bca12ea26</t>
  </si>
  <si>
    <t>uuid:33a1b95b-5bfb-4ede-97ee-db4bca12ea26</t>
  </si>
  <si>
    <t>-2.443697 37.965742 938.8 4.699999809265137</t>
  </si>
  <si>
    <t>Mavi Kamau</t>
  </si>
  <si>
    <t>Tamarindus indica (Tamarind) Melia Volkensii Neem (Azadirachta indica) Senna siamea  Acacia tortilis Dalbergia melanoxylon Mango Terminalia brownii Moringa oleifera Passion fruit</t>
  </si>
  <si>
    <t>For income generation, Nutritional purposes,</t>
  </si>
  <si>
    <t>Medicinal Purposes, Good for shade and windbreak, drought tolerant, Fast growing</t>
  </si>
  <si>
    <t>High value timber, Not attacked by pests, fast growing</t>
  </si>
  <si>
    <t>Extremely drought tolerant, good for soil improvement, Fodder,</t>
  </si>
  <si>
    <t>Highly nutritional values, Require very little water, High growth rate</t>
  </si>
  <si>
    <t>Grows huge shading crops therefore not good for agroforestry</t>
  </si>
  <si>
    <t>Nutritional values, Timber, Fuelwood, Poles and posts, soil erosion control,</t>
  </si>
  <si>
    <t>Neem, Melia volkensii, Mango, Terminalia brownii , Dalbergia melanoxyon</t>
  </si>
  <si>
    <t>Unreliable rainfall, water scarcity, young seedlings attack by termites</t>
  </si>
  <si>
    <t>c6b3d557-eb91-4641-810d-9d6fbd312b3f</t>
  </si>
  <si>
    <t>uuid:c6b3d557-eb91-4641-810d-9d6fbd312b3f</t>
  </si>
  <si>
    <t>Miangeni village</t>
  </si>
  <si>
    <t>-2.41584 38.087373 770.9 15.899999618530273</t>
  </si>
  <si>
    <t>Monica Mwathi</t>
  </si>
  <si>
    <t>Tamarindus indica (Tamarind) Melia Volkensii Neem (Azadirachta indica) Senna siamea  Acacia tortilis Acacia melifera Dalbergia melanoxylon Avocado Terminalia brownii Moringa oleifera</t>
  </si>
  <si>
    <t>Hardy timber, Drought tolerant, Acts as Windbreaker</t>
  </si>
  <si>
    <t>Medicinal, good for shade</t>
  </si>
  <si>
    <t>Fodder, Fuelwood, Soil erosion control</t>
  </si>
  <si>
    <t>Fruits, income generation, shade</t>
  </si>
  <si>
    <t>Fooder, Good for fence, Soil erosion</t>
  </si>
  <si>
    <t>Soil erosion control,  Timber and poles , Fruits, Acts as noise control,</t>
  </si>
  <si>
    <t>Melia volkensii, Neem</t>
  </si>
  <si>
    <t>Termites, Water Scarcity, limited knowledge on seedlings management</t>
  </si>
  <si>
    <t>6ae57890-c9f2-453d-b17c-8f4b540a838a</t>
  </si>
  <si>
    <t>uuid:6ae57890-c9f2-453d-b17c-8f4b540a838a</t>
  </si>
  <si>
    <t>-2.446897 37.967513 951.3 9.399999618530273</t>
  </si>
  <si>
    <t>Wambua Gregory</t>
  </si>
  <si>
    <t>Tamarindus indica (Tamarind) Melia Volkensii Melia azederach Neem (Azadirachta indica) Senna siamea  Acacia tortilis Dalbergia melanoxylon Mango Terminalia brownii Passion fruit</t>
  </si>
  <si>
    <t>Nutritional purposes, fast growing,  income generation</t>
  </si>
  <si>
    <t>Require little water, high growth rate, Highly nutritional</t>
  </si>
  <si>
    <t>Hardy timber, Drought tolerant, pests tolerant</t>
  </si>
  <si>
    <t>Fast growing, Medicinal Purposes, Good for shade and windbreak</t>
  </si>
  <si>
    <t>Hardy wood, Fuelwood and shade, Drought tolerant</t>
  </si>
  <si>
    <t>Grows huge shading crops (not good for agroforestry)</t>
  </si>
  <si>
    <t>Fruits, Timber, Poles and posts, Shade, Fuelwood, source of income, Noise control, improves soil fertility, soil erosion control</t>
  </si>
  <si>
    <t>Neem, Mango, Melia volkensii, terminalia brownii Senna siamea, Acacia meifera</t>
  </si>
  <si>
    <t>Water scarcity, Unreliable rainfall, Termites damage to younger seedlings</t>
  </si>
  <si>
    <t>91bcf8e8-62ce-4233-a0ee-d1f47344526a</t>
  </si>
  <si>
    <t>uuid:91bcf8e8-62ce-4233-a0ee-d1f47344526a</t>
  </si>
  <si>
    <t>-2.448622 37.969143 931.9 6</t>
  </si>
  <si>
    <t>Boniface sila</t>
  </si>
  <si>
    <t>Driver</t>
  </si>
  <si>
    <t>Tamarindus indica (Tamarind) Melia Volkensii Neem (Azadirachta indica) Senna siamea  Acacia tortilis Dalbergia melanoxylon Mango Terminalia brownii Passion fruit Lemon tree</t>
  </si>
  <si>
    <t>Income generation, Fast growing, Nutritional and Health benefits</t>
  </si>
  <si>
    <t>Fast growing, drought tolerant, pests tolerant</t>
  </si>
  <si>
    <t>Extremely drought tolerant, Good for soil improvement, Animal fodder</t>
  </si>
  <si>
    <t>Hard timber, drought tolerant, For income generation</t>
  </si>
  <si>
    <t>Good for shade and Fuelwood (hard wood) , Medicinal Purposes</t>
  </si>
  <si>
    <t>Not good for agroforestry</t>
  </si>
  <si>
    <t>Fruits, Shade, Fuelwood, windbreak, improves soil fertility, poles and posts, income generation</t>
  </si>
  <si>
    <t>Melia volkensii, Neem, mango, Terminalia brownii, Senna siamea</t>
  </si>
  <si>
    <t>Termites attack the young seedlings, unreliable rainfall, water scarcity</t>
  </si>
  <si>
    <t>ed672bbe-46c7-42bc-af5d-6e493783527e</t>
  </si>
  <si>
    <t>uuid:ed672bbe-46c7-42bc-af5d-6e493783527e</t>
  </si>
  <si>
    <t>-2.447678 37.969633 908.6999999999999 5.400000095367432</t>
  </si>
  <si>
    <t>Joshua maweu</t>
  </si>
  <si>
    <t>Hard timber, drought tolerant,  income generation</t>
  </si>
  <si>
    <t>Nutritional and Health benefits, income generation, fast growing</t>
  </si>
  <si>
    <t>Require little water, highly nutritional, fast growing</t>
  </si>
  <si>
    <t>Papaya</t>
  </si>
  <si>
    <t>Health and nutritional purposes, Income generation, Fast growing</t>
  </si>
  <si>
    <t>Good for shade and windbreak, drought tolerant, Not attacked by pests</t>
  </si>
  <si>
    <t>Baobab , Acacia species</t>
  </si>
  <si>
    <t>Fruits, Timber, Poles, Shade, Source of income, soil erosion control, Soil fertility improvement</t>
  </si>
  <si>
    <t>Mango, Melia volkensii, Neem, senna siamea, Terminalia brownii, Tamarindus indica</t>
  </si>
  <si>
    <t>Water scarcity, unreliable rainfall, Termites attack young seedlings</t>
  </si>
  <si>
    <t>c6c9b9dc-cdac-4af3-9e29-58e9caa3b7c6</t>
  </si>
  <si>
    <t>uuid:c6c9b9dc-cdac-4af3-9e29-58e9caa3b7c6</t>
  </si>
  <si>
    <t>Usalama</t>
  </si>
  <si>
    <t>-2.448202 37.969215 940 5</t>
  </si>
  <si>
    <t>Queen mbuya</t>
  </si>
  <si>
    <t>Shade Timber Fodder Fruits Fuelwood Boundary marking Environmental reasons (erosion control, windbreak, etc)</t>
  </si>
  <si>
    <t>Fast growing, good for shade and windbreak, drought tolerant</t>
  </si>
  <si>
    <t>Drought tolerant, Not attacked by pests, valuable timber</t>
  </si>
  <si>
    <t>Nutritional and Health benefits, income generation</t>
  </si>
  <si>
    <t>Fast growing, Require little water, Good for shade, For fodder</t>
  </si>
  <si>
    <t>Drought tolerant, good for shade and Fuelwood, tolerates harsh dry conditions</t>
  </si>
  <si>
    <t>Acacia species, baobab</t>
  </si>
  <si>
    <t>Limited economic returns, Not good for agroforestry</t>
  </si>
  <si>
    <t>Fruits, Source of income, Posts and poles, Soil erosion control, Fuelwood, control noise</t>
  </si>
  <si>
    <t>Melia volkensii, Neem, senna siamea, Mango</t>
  </si>
  <si>
    <t>Water scarcity, unreliable rainfall, High temperature leading to high water loss</t>
  </si>
  <si>
    <t>4ad61961-4ae6-4b44-a6e9-46f06aa91d34</t>
  </si>
  <si>
    <t>uuid:4ad61961-4ae6-4b44-a6e9-46f06aa91d34</t>
  </si>
  <si>
    <t>-2.450826 37.97104 972.1999999999999 78.9000015258789</t>
  </si>
  <si>
    <t>Martha Nduva</t>
  </si>
  <si>
    <t>Drought tolerant, Pests resistance, Fast growing in dryland</t>
  </si>
  <si>
    <t>Drought tolerant, hardy timber, pests resistance</t>
  </si>
  <si>
    <t>Fast growing, Require little water, good for shade and firewood.</t>
  </si>
  <si>
    <t>Hardy wood, income generation</t>
  </si>
  <si>
    <t>Income generation , Health and nutritional benefits</t>
  </si>
  <si>
    <t>Acacia species, Baobab</t>
  </si>
  <si>
    <t>Limited economic returns, slow growth rate</t>
  </si>
  <si>
    <t>Income generation, Fuelwood, timber, poles and posts, Shade, Windbreaker, soil erosion control, noise control</t>
  </si>
  <si>
    <t>Neem, Melia volkensii, Mango, Terminalia brownii, Senna siamea</t>
  </si>
  <si>
    <t>Water scarcity, unreliable rainfall, termites attack Young seedlings, high temperature leading to fast water loss.</t>
  </si>
  <si>
    <t>d0102d83-84c4-4eea-a3a7-d710a588ab2f</t>
  </si>
  <si>
    <t>uuid:d0102d83-84c4-4eea-a3a7-d710a588ab2f</t>
  </si>
  <si>
    <t>-2.451907 37.970678 954.5 5.5</t>
  </si>
  <si>
    <t>Agnes Nduku</t>
  </si>
  <si>
    <t>Tamarindus indica (Tamarind) Melia Volkensii Neem (Azadirachta indica) Senna siamea  Dalbergia melanoxylon croton megalocarpus Mango Terminalia brownii Passion fruit</t>
  </si>
  <si>
    <t>Hardy timber, Drought tolerant, pests resistance</t>
  </si>
  <si>
    <t>Fast growing, Good for shade and windbreak, Tolerates harsh drought conditions</t>
  </si>
  <si>
    <t>Survives in extremely dry conditions, medicinal uses, Good for Fuelwood and Timber</t>
  </si>
  <si>
    <t>Health and nutritional benefits, For income generation, Improves soil fertility (fallen decomposed leaves)</t>
  </si>
  <si>
    <t>Passion fruit</t>
  </si>
  <si>
    <t>Highly nutritional, Require little water, Fast growing in dryland</t>
  </si>
  <si>
    <t>Income generation, Shade, Fruits, Timber, Poles and posts, Fuelwood, soil erosion control</t>
  </si>
  <si>
    <t>Neem, Melia volkensii, terminalia brownii, senna siamea, Mango,</t>
  </si>
  <si>
    <t>Water scarcity, Termites attack to the young, High temperature leading to fast water loss.</t>
  </si>
  <si>
    <t>b5754a19-3d2b-4cef-ab3b-93e095678675</t>
  </si>
  <si>
    <t>uuid:b5754a19-3d2b-4cef-ab3b-93e095678675</t>
  </si>
  <si>
    <t>-2.452028 37.970942 929.4 13.100000381469727</t>
  </si>
  <si>
    <t>Jane Muasa</t>
  </si>
  <si>
    <t>Sales and Marketing</t>
  </si>
  <si>
    <t>Drought tolerant, For income generation</t>
  </si>
  <si>
    <t>Drought tolerant, Good for shade and Fuelwood, Hard timber</t>
  </si>
  <si>
    <t>For fodder, Fast growing, require little water,</t>
  </si>
  <si>
    <t>Health and nutritional benefits, For income generation</t>
  </si>
  <si>
    <t>Medicinal Purposes, Drought tolerant,  Good for shade and Fuelwood</t>
  </si>
  <si>
    <t>Soil erosion control, fruits, Timber , Posts and poles, Medicinal Purposes</t>
  </si>
  <si>
    <t>Mango , Acacia melifera, Neem , Melia volkensii</t>
  </si>
  <si>
    <t>Water scarcity, high temperatures, limited financial resources, limited knowledge on tree management</t>
  </si>
  <si>
    <t>d06ade55-a62d-4ac5-8c1d-fdcb66b1ab11</t>
  </si>
  <si>
    <t>uuid:d06ade55-a62d-4ac5-8c1d-fdcb66b1ab11</t>
  </si>
  <si>
    <t>-2.450062 37.968597 896.3 11.199999809265137</t>
  </si>
  <si>
    <t>Ndolo Nywowe</t>
  </si>
  <si>
    <t>Tamarindus indica (Tamarind) Melia Volkensii Neem (Azadirachta indica) Senna siamea  Acacia tortilis Acacia melifera Dalbergia melanoxylon Mango Terminalia brownii Passion fruit</t>
  </si>
  <si>
    <t>Hardy timber, drought tolerant,  income generation</t>
  </si>
  <si>
    <t>Hard timber, Fast growing, tolerates harsh dry conditions</t>
  </si>
  <si>
    <t>Income generation, nutritional purposes,</t>
  </si>
  <si>
    <t>Leaves are used as Animal fodder, Good for shade and Fuelwood, Fast growing</t>
  </si>
  <si>
    <t>Good for fencing</t>
  </si>
  <si>
    <t>Fruits, shade, Timber, income generation Fuelwood</t>
  </si>
  <si>
    <t>Neem, Melia volkensii, senna siamea, Terminalia brownii, Mango</t>
  </si>
  <si>
    <t>Water Scarcity, unreliable rainfall, Termites</t>
  </si>
  <si>
    <t>e6f1dbb8-3171-4175-b080-9274c75a4715</t>
  </si>
  <si>
    <t>uuid:e6f1dbb8-3171-4175-b080-9274c75a4715</t>
  </si>
  <si>
    <t>-2.451703 37.96955 929.4 10.399999618530273</t>
  </si>
  <si>
    <t>Gideon Ndolo</t>
  </si>
  <si>
    <t>Tamarindus indica (Tamarind) Melia Volkensii Neem (Azadirachta indica) Senna siamea  Dalbergia melanoxylon Mango Passion fruit</t>
  </si>
  <si>
    <t>Medicinal Purposes, drought tolerant, Good shade and windbreak</t>
  </si>
  <si>
    <t>Hardy timber, drought tolerant, resistance to pests</t>
  </si>
  <si>
    <t>Fruits, income generation, Shade</t>
  </si>
  <si>
    <t>Fruits, fast growing, Require little water</t>
  </si>
  <si>
    <t>Shade and cooling , Beautification, green environment reduces stress, Fruits, Income generation, windbreaker, Timber, poles and postsk</t>
  </si>
  <si>
    <t>Water scarcity, Unreliable rainfall,</t>
  </si>
  <si>
    <t>b33efa5a-64ec-47c6-a491-855428ef6277</t>
  </si>
  <si>
    <t>uuid:b33efa5a-64ec-47c6-a491-855428ef6277</t>
  </si>
  <si>
    <t>-2.451007 37.968152 929 8.699999809265137</t>
  </si>
  <si>
    <t>Penina Nzau</t>
  </si>
  <si>
    <t>Tamarindus indica (Tamarind) Melia Volkensii Neem (Azadirachta indica) Senna siamea  Acacia melifera Dalbergia melanoxylon croton megalocarpus Mango Terminalia brownii Passion fruit</t>
  </si>
  <si>
    <t>Drought tolerant, pests resistance, Hardy timber</t>
  </si>
  <si>
    <t>Good for shade and windbreak, fast growing,</t>
  </si>
  <si>
    <t>Good for shade, Animal fodder, Fast growing</t>
  </si>
  <si>
    <t>Good for fence</t>
  </si>
  <si>
    <t>Grow huge shading crops</t>
  </si>
  <si>
    <t>Fruits  , Timber, Shade, Fodder, Fuelwood,</t>
  </si>
  <si>
    <t>Neem, Mango, Melia volkensii, senna siamea</t>
  </si>
  <si>
    <t>Water scarcity, unreliable rainfall, high temperature leading to fast water loss</t>
  </si>
  <si>
    <t>a1a85036-3dc9-4914-8098-630921fd4f98</t>
  </si>
  <si>
    <t>uuid:a1a85036-3dc9-4914-8098-630921fd4f98</t>
  </si>
  <si>
    <t>-2.34569 37.872562 1001.7 7.199999809265137</t>
  </si>
  <si>
    <t>Mwathi Musau</t>
  </si>
  <si>
    <t>Tamarindus indica (Tamarind) Melia Volkensii Neem (Azadirachta indica) Senna siamea  Senna abbreviata Acacia tortilis croton megalocarpus Mango Balanites aegyptiaca Terminalia brownii</t>
  </si>
  <si>
    <t>Fruits, Income generation, Fuelwood, Fooder</t>
  </si>
  <si>
    <t>Source of income, Fodder, Fuelwood, Shade, Windbreaker</t>
  </si>
  <si>
    <t>Fooder, Timber and poles, Windbreaker, Erosion control, Income generation</t>
  </si>
  <si>
    <t>Fruit, source of income, Health and nutritional purposes, soil erosion control</t>
  </si>
  <si>
    <t>Fodder, Fuelwood, Shade, Windbreaker, Timber and poles</t>
  </si>
  <si>
    <t>Terminalia brownii, Balanites aegyptica, Dalbergia melanoxyon, Melia volkensii, Acacia nilotica</t>
  </si>
  <si>
    <t>Maturity period is long, Attracts pests, low direct benefits,</t>
  </si>
  <si>
    <t>Income generation, Timber and poles, Fooder, Fuelwood, Erosion control</t>
  </si>
  <si>
    <t>Lemon, Mango, passion fruits, pawpaw, Avocado, Guavas, Pomagranate, Tamarindus indica</t>
  </si>
  <si>
    <t>Pests (termites), Water scarcity,  Lack of the seedlings</t>
  </si>
  <si>
    <t>faf671f6-22e0-46f1-adf9-20b0471ae025</t>
  </si>
  <si>
    <t>uuid:faf671f6-22e0-46f1-adf9-20b0471ae025</t>
  </si>
  <si>
    <t>-2.448082 37.969633 938.8 4.400000095367432</t>
  </si>
  <si>
    <t>Jones Kilungya</t>
  </si>
  <si>
    <t>Hardy timber, drought tolerant, Resistance to pests</t>
  </si>
  <si>
    <t>Fast growing, Medicinal, drought tolerant</t>
  </si>
  <si>
    <t>Fodder, Good for shade,</t>
  </si>
  <si>
    <t>Timber, shade, Fodder, Fruits, income generation</t>
  </si>
  <si>
    <t>Melia volkensii, Neem, mango</t>
  </si>
  <si>
    <t>801d3609-2cae-498b-8aae-868832827a94</t>
  </si>
  <si>
    <t>uuid:801d3609-2cae-498b-8aae-868832827a94</t>
  </si>
  <si>
    <t>Dear respondent, the purpose of this study is to gather information on most desired tree species by local communities, reasons for choosing specific tree species, and how trees are used locally or for income generation. Their uses and benefits derived fro</t>
  </si>
  <si>
    <t>Reasons2</t>
  </si>
  <si>
    <t>Reasons3</t>
  </si>
  <si>
    <t>Reasons4</t>
  </si>
  <si>
    <t>Reasons5</t>
  </si>
  <si>
    <t>Reasons6</t>
  </si>
  <si>
    <t>Row Labels</t>
  </si>
  <si>
    <t>Grand Total</t>
  </si>
  <si>
    <t>Occupation</t>
  </si>
  <si>
    <t>Count of Highest level of education</t>
  </si>
  <si>
    <t>Rank</t>
  </si>
  <si>
    <t>Livelihood Source</t>
  </si>
  <si>
    <t>Count</t>
  </si>
  <si>
    <t>Percentage</t>
  </si>
  <si>
    <t>Livestock keeping</t>
  </si>
  <si>
    <t>Agroforestry</t>
  </si>
  <si>
    <t>Crop Farming</t>
  </si>
  <si>
    <t>Livestock Keeping</t>
  </si>
  <si>
    <t>Others</t>
  </si>
  <si>
    <t>Column Labels</t>
  </si>
  <si>
    <t>Do you engage in forestry</t>
  </si>
  <si>
    <t>Count of Do you practice farm forestry (planting crops and trees)</t>
  </si>
  <si>
    <t xml:space="preserve">Livestock keeping </t>
  </si>
  <si>
    <t xml:space="preserve">Bee keeping </t>
  </si>
  <si>
    <t xml:space="preserve">Horticulture </t>
  </si>
  <si>
    <t xml:space="preserve">Grass planting </t>
  </si>
  <si>
    <t>NGO</t>
  </si>
  <si>
    <t>Local nursery</t>
  </si>
  <si>
    <t>County</t>
  </si>
  <si>
    <t>Shade</t>
  </si>
  <si>
    <t>Timber</t>
  </si>
  <si>
    <t>Fodder</t>
  </si>
  <si>
    <t>Fruits</t>
  </si>
  <si>
    <t>Fuelwood</t>
  </si>
  <si>
    <t>Boundary marking</t>
  </si>
  <si>
    <t>Income generation</t>
  </si>
  <si>
    <t>Environmental reasons (erosion control, windbreak, etc)</t>
  </si>
  <si>
    <t>Other2</t>
  </si>
  <si>
    <t>Other3</t>
  </si>
  <si>
    <t>Tamarindus indica (Tamarind)</t>
  </si>
  <si>
    <t>Melia Volkensii</t>
  </si>
  <si>
    <t>Melia azederach</t>
  </si>
  <si>
    <t>Neem (Azadirachta indica)</t>
  </si>
  <si>
    <t xml:space="preserve">Senna siamea </t>
  </si>
  <si>
    <t>Senna abbreviata</t>
  </si>
  <si>
    <t>Acacia nilotica</t>
  </si>
  <si>
    <t>Acacia seyal</t>
  </si>
  <si>
    <t>Acacia senegal</t>
  </si>
  <si>
    <t>Acacia elata</t>
  </si>
  <si>
    <t>Dalbergia melanoxylon</t>
  </si>
  <si>
    <t>Delonix regia</t>
  </si>
  <si>
    <t>croton megalocarpus</t>
  </si>
  <si>
    <t>Combretum brownii</t>
  </si>
  <si>
    <t>Vitex payos</t>
  </si>
  <si>
    <t>Baobab (Adonsonia digitata)</t>
  </si>
  <si>
    <t>Balanites aegyptiaca</t>
  </si>
  <si>
    <t>Olea africana</t>
  </si>
  <si>
    <t>Bambusa vulgaris (Bamboo)</t>
  </si>
  <si>
    <t>Lemon tree</t>
  </si>
  <si>
    <t xml:space="preserve">Acacia xanthophloea </t>
  </si>
  <si>
    <t>Through school/youth groups</t>
  </si>
  <si>
    <t>Other4</t>
  </si>
  <si>
    <t>Column10</t>
  </si>
  <si>
    <t>Sum of Timber</t>
  </si>
  <si>
    <t>Sum of Fodder</t>
  </si>
  <si>
    <t>Sum of Shade</t>
  </si>
  <si>
    <t>Sum of Fruits</t>
  </si>
  <si>
    <t>Sum of Fuelwood</t>
  </si>
  <si>
    <t>Sum of Boundary marking</t>
  </si>
  <si>
    <t>Sum of Income generation</t>
  </si>
  <si>
    <t>Sum of Environmental reasons (erosion control, windbreak, etc)</t>
  </si>
  <si>
    <t>Values</t>
  </si>
  <si>
    <t>Selection</t>
  </si>
  <si>
    <t>Sum of Selection</t>
  </si>
  <si>
    <t>Tree Species</t>
  </si>
  <si>
    <t>Count of 5th Choice tree species</t>
  </si>
  <si>
    <t>Count of Reasons5</t>
  </si>
  <si>
    <t>Count of Give five (5) least preferred tree species and reasons for each.</t>
  </si>
  <si>
    <t>Count of Reasons6</t>
  </si>
  <si>
    <t>Frequency</t>
  </si>
  <si>
    <t>Sum of Frequency</t>
  </si>
  <si>
    <t>Count of Gender</t>
  </si>
  <si>
    <t>Count of Age</t>
  </si>
  <si>
    <t>Count of Occupation of the respondent</t>
  </si>
  <si>
    <t>-Other</t>
  </si>
  <si>
    <t>-Crop farming</t>
  </si>
  <si>
    <t>-Agroforestry</t>
  </si>
  <si>
    <t>-Livestock keeping</t>
  </si>
  <si>
    <t xml:space="preserve"> Practicing Forestry</t>
  </si>
  <si>
    <t>Practice farm forestry (planting crops and trees)</t>
  </si>
  <si>
    <t>-Bee keeping</t>
  </si>
  <si>
    <t xml:space="preserve">-Crop farming </t>
  </si>
  <si>
    <t xml:space="preserve">-Grass planting </t>
  </si>
  <si>
    <t xml:space="preserve">-Horticulture </t>
  </si>
  <si>
    <t xml:space="preserve">.Bee keeping </t>
  </si>
  <si>
    <t xml:space="preserve">.Crop farming </t>
  </si>
  <si>
    <t xml:space="preserve">.Livestock keeping </t>
  </si>
  <si>
    <t xml:space="preserve">.Horticulture </t>
  </si>
  <si>
    <t xml:space="preserve">.Grass planting </t>
  </si>
  <si>
    <t>Sum of Other3</t>
  </si>
  <si>
    <t>-KEFRI</t>
  </si>
  <si>
    <t>-Others</t>
  </si>
  <si>
    <t>-Self-raised</t>
  </si>
  <si>
    <t>-NGO</t>
  </si>
  <si>
    <t>-Local nursery</t>
  </si>
  <si>
    <t>.KEFRI</t>
  </si>
  <si>
    <t>.Local nursery</t>
  </si>
  <si>
    <t>.NGO</t>
  </si>
  <si>
    <t>.Others</t>
  </si>
  <si>
    <t>.Self-raised</t>
  </si>
  <si>
    <t>~KEFRI</t>
  </si>
  <si>
    <t>~Self-raised</t>
  </si>
  <si>
    <t>~NGO</t>
  </si>
  <si>
    <t>~Local nursery</t>
  </si>
  <si>
    <t>_KEFRI</t>
  </si>
  <si>
    <t>_Self-raised</t>
  </si>
  <si>
    <t>_NGO</t>
  </si>
  <si>
    <t>_Local nursery</t>
  </si>
  <si>
    <t>Count of Do you practice Forestry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</si>
</sst>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0" fillId="0" borderId="0" xfId="0" applyAlignment="1">
      <alignment horizontal="left" indent="1"/>
    </xf>
    <xf numFmtId="0" fontId="3" fillId="0" borderId="0" xfId="0" applyFont="1"/>
  </cellXfs>
  <cellStyles count="1">
    <cellStyle name="Normal" xfId="0" builtinId="0"/>
  </cellStyles>
  <dxfs count="9">
    <dxf>
      <font>
        <b/>
        <i val="0"/>
        <strike val="0"/>
        <condense val="0"/>
        <extend val="0"/>
        <outline val="0"/>
        <shadow val="0"/>
        <u val="none"/>
        <vertAlign val="baseline"/>
        <sz val="11"/>
        <color theme="1"/>
        <name val="Calibri"/>
        <family val="2"/>
        <scheme val="minor"/>
      </font>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3.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[Tree_Species_Assesement.xlsx]Gender!PivotTable1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F7D-4E41-9E7D-B87387759AE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F7D-4E41-9E7D-B87387759AE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Gender!$A$4:$A$6</c:f>
              <c:strCache>
                <c:ptCount val="2"/>
                <c:pt idx="0">
                  <c:v>Female</c:v>
                </c:pt>
                <c:pt idx="1">
                  <c:v>Male</c:v>
                </c:pt>
              </c:strCache>
            </c:strRef>
          </c:cat>
          <c:val>
            <c:numRef>
              <c:f>Gender!$B$4:$B$6</c:f>
              <c:numCache>
                <c:formatCode>General</c:formatCode>
                <c:ptCount val="2"/>
                <c:pt idx="0">
                  <c:v>35</c:v>
                </c:pt>
                <c:pt idx="1">
                  <c:v>34</c:v>
                </c:pt>
              </c:numCache>
            </c:numRef>
          </c:val>
          <c:extLst>
            <c:ext xmlns:c16="http://schemas.microsoft.com/office/drawing/2014/chart" uri="{C3380CC4-5D6E-409C-BE32-E72D297353CC}">
              <c16:uniqueId val="{00000000-B643-4729-B56E-55FC5BB9BE29}"/>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[Tree_Species_Assesement.xlsx]Age!PivotTable2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Age!$B$3:$B$4</c:f>
              <c:strCache>
                <c:ptCount val="1"/>
                <c:pt idx="0">
                  <c:v>Female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Age!$A$5:$A$14</c:f>
              <c:strCache>
                <c:ptCount val="9"/>
                <c:pt idx="0">
                  <c:v>18-25</c:v>
                </c:pt>
                <c:pt idx="1">
                  <c:v>26-30</c:v>
                </c:pt>
                <c:pt idx="2">
                  <c:v>31-35</c:v>
                </c:pt>
                <c:pt idx="3">
                  <c:v>36-40</c:v>
                </c:pt>
                <c:pt idx="4">
                  <c:v>41-45</c:v>
                </c:pt>
                <c:pt idx="5">
                  <c:v>46-50</c:v>
                </c:pt>
                <c:pt idx="6">
                  <c:v>51-55</c:v>
                </c:pt>
                <c:pt idx="7">
                  <c:v>56-60</c:v>
                </c:pt>
                <c:pt idx="8">
                  <c:v>61 and above</c:v>
                </c:pt>
              </c:strCache>
            </c:strRef>
          </c:cat>
          <c:val>
            <c:numRef>
              <c:f>Age!$B$5:$B$14</c:f>
              <c:numCache>
                <c:formatCode>General</c:formatCode>
                <c:ptCount val="9"/>
                <c:pt idx="0">
                  <c:v>1</c:v>
                </c:pt>
                <c:pt idx="2">
                  <c:v>2</c:v>
                </c:pt>
                <c:pt idx="3">
                  <c:v>5</c:v>
                </c:pt>
                <c:pt idx="4">
                  <c:v>7</c:v>
                </c:pt>
                <c:pt idx="5">
                  <c:v>4</c:v>
                </c:pt>
                <c:pt idx="6">
                  <c:v>5</c:v>
                </c:pt>
                <c:pt idx="7">
                  <c:v>5</c:v>
                </c:pt>
                <c:pt idx="8">
                  <c:v>6</c:v>
                </c:pt>
              </c:numCache>
            </c:numRef>
          </c:val>
          <c:extLst>
            <c:ext xmlns:c16="http://schemas.microsoft.com/office/drawing/2014/chart" uri="{C3380CC4-5D6E-409C-BE32-E72D297353CC}">
              <c16:uniqueId val="{00000000-9C2F-4BA9-9EE0-31CD19357940}"/>
            </c:ext>
          </c:extLst>
        </c:ser>
        <c:ser>
          <c:idx val="1"/>
          <c:order val="1"/>
          <c:tx>
            <c:strRef>
              <c:f>Age!$C$3:$C$4</c:f>
              <c:strCache>
                <c:ptCount val="1"/>
                <c:pt idx="0">
                  <c:v>Male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Age!$A$5:$A$14</c:f>
              <c:strCache>
                <c:ptCount val="9"/>
                <c:pt idx="0">
                  <c:v>18-25</c:v>
                </c:pt>
                <c:pt idx="1">
                  <c:v>26-30</c:v>
                </c:pt>
                <c:pt idx="2">
                  <c:v>31-35</c:v>
                </c:pt>
                <c:pt idx="3">
                  <c:v>36-40</c:v>
                </c:pt>
                <c:pt idx="4">
                  <c:v>41-45</c:v>
                </c:pt>
                <c:pt idx="5">
                  <c:v>46-50</c:v>
                </c:pt>
                <c:pt idx="6">
                  <c:v>51-55</c:v>
                </c:pt>
                <c:pt idx="7">
                  <c:v>56-60</c:v>
                </c:pt>
                <c:pt idx="8">
                  <c:v>61 and above</c:v>
                </c:pt>
              </c:strCache>
            </c:strRef>
          </c:cat>
          <c:val>
            <c:numRef>
              <c:f>Age!$C$5:$C$14</c:f>
              <c:numCache>
                <c:formatCode>General</c:formatCode>
                <c:ptCount val="9"/>
                <c:pt idx="1">
                  <c:v>2</c:v>
                </c:pt>
                <c:pt idx="2">
                  <c:v>1</c:v>
                </c:pt>
                <c:pt idx="3">
                  <c:v>1</c:v>
                </c:pt>
                <c:pt idx="4">
                  <c:v>2</c:v>
                </c:pt>
                <c:pt idx="5">
                  <c:v>3</c:v>
                </c:pt>
                <c:pt idx="6">
                  <c:v>6</c:v>
                </c:pt>
                <c:pt idx="7">
                  <c:v>5</c:v>
                </c:pt>
                <c:pt idx="8">
                  <c:v>14</c:v>
                </c:pt>
              </c:numCache>
            </c:numRef>
          </c:val>
          <c:extLst>
            <c:ext xmlns:c16="http://schemas.microsoft.com/office/drawing/2014/chart" uri="{C3380CC4-5D6E-409C-BE32-E72D297353CC}">
              <c16:uniqueId val="{00000002-9C2F-4BA9-9EE0-31CD19357940}"/>
            </c:ext>
          </c:extLst>
        </c:ser>
        <c:dLbls>
          <c:dLblPos val="outEnd"/>
          <c:showLegendKey val="0"/>
          <c:showVal val="1"/>
          <c:showCatName val="0"/>
          <c:showSerName val="0"/>
          <c:showPercent val="0"/>
          <c:showBubbleSize val="0"/>
        </c:dLbls>
        <c:gapWidth val="444"/>
        <c:overlap val="-90"/>
        <c:axId val="686869039"/>
        <c:axId val="686857039"/>
      </c:barChart>
      <c:catAx>
        <c:axId val="6868690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Groups</a:t>
                </a:r>
              </a:p>
            </c:rich>
          </c:tx>
          <c:layout>
            <c:manualLayout>
              <c:xMode val="edge"/>
              <c:yMode val="edge"/>
              <c:x val="0.38899059492563431"/>
              <c:y val="0.7834973753280839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86857039"/>
        <c:crosses val="autoZero"/>
        <c:auto val="1"/>
        <c:lblAlgn val="ctr"/>
        <c:lblOffset val="100"/>
        <c:noMultiLvlLbl val="0"/>
      </c:catAx>
      <c:valAx>
        <c:axId val="686857039"/>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Numbers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68686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[Tree_Species_Assesement.xlsx]Age!PivotTable2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Age!$B$3:$B$4</c:f>
              <c:strCache>
                <c:ptCount val="1"/>
                <c:pt idx="0">
                  <c:v>Female</c:v>
                </c:pt>
              </c:strCache>
            </c:strRef>
          </c:tx>
          <c:spPr>
            <a:solidFill>
              <a:schemeClr val="accent1"/>
            </a:solidFill>
            <a:ln>
              <a:noFill/>
            </a:ln>
            <a:effectLst/>
          </c:spPr>
          <c:invertIfNegative val="0"/>
          <c:cat>
            <c:strRef>
              <c:f>Age!$A$5:$A$14</c:f>
              <c:strCache>
                <c:ptCount val="9"/>
                <c:pt idx="0">
                  <c:v>18-25</c:v>
                </c:pt>
                <c:pt idx="1">
                  <c:v>26-30</c:v>
                </c:pt>
                <c:pt idx="2">
                  <c:v>31-35</c:v>
                </c:pt>
                <c:pt idx="3">
                  <c:v>36-40</c:v>
                </c:pt>
                <c:pt idx="4">
                  <c:v>41-45</c:v>
                </c:pt>
                <c:pt idx="5">
                  <c:v>46-50</c:v>
                </c:pt>
                <c:pt idx="6">
                  <c:v>51-55</c:v>
                </c:pt>
                <c:pt idx="7">
                  <c:v>56-60</c:v>
                </c:pt>
                <c:pt idx="8">
                  <c:v>61 and above</c:v>
                </c:pt>
              </c:strCache>
            </c:strRef>
          </c:cat>
          <c:val>
            <c:numRef>
              <c:f>Age!$B$5:$B$14</c:f>
              <c:numCache>
                <c:formatCode>General</c:formatCode>
                <c:ptCount val="9"/>
                <c:pt idx="0">
                  <c:v>1</c:v>
                </c:pt>
                <c:pt idx="2">
                  <c:v>2</c:v>
                </c:pt>
                <c:pt idx="3">
                  <c:v>5</c:v>
                </c:pt>
                <c:pt idx="4">
                  <c:v>7</c:v>
                </c:pt>
                <c:pt idx="5">
                  <c:v>4</c:v>
                </c:pt>
                <c:pt idx="6">
                  <c:v>5</c:v>
                </c:pt>
                <c:pt idx="7">
                  <c:v>5</c:v>
                </c:pt>
                <c:pt idx="8">
                  <c:v>6</c:v>
                </c:pt>
              </c:numCache>
            </c:numRef>
          </c:val>
          <c:extLst>
            <c:ext xmlns:c16="http://schemas.microsoft.com/office/drawing/2014/chart" uri="{C3380CC4-5D6E-409C-BE32-E72D297353CC}">
              <c16:uniqueId val="{00000000-A8E1-42FE-9957-470294E8D6A5}"/>
            </c:ext>
          </c:extLst>
        </c:ser>
        <c:ser>
          <c:idx val="1"/>
          <c:order val="1"/>
          <c:tx>
            <c:strRef>
              <c:f>Age!$C$3:$C$4</c:f>
              <c:strCache>
                <c:ptCount val="1"/>
                <c:pt idx="0">
                  <c:v>Male</c:v>
                </c:pt>
              </c:strCache>
            </c:strRef>
          </c:tx>
          <c:spPr>
            <a:solidFill>
              <a:schemeClr val="accent2"/>
            </a:solidFill>
            <a:ln>
              <a:noFill/>
            </a:ln>
            <a:effectLst/>
          </c:spPr>
          <c:invertIfNegative val="0"/>
          <c:cat>
            <c:strRef>
              <c:f>Age!$A$5:$A$14</c:f>
              <c:strCache>
                <c:ptCount val="9"/>
                <c:pt idx="0">
                  <c:v>18-25</c:v>
                </c:pt>
                <c:pt idx="1">
                  <c:v>26-30</c:v>
                </c:pt>
                <c:pt idx="2">
                  <c:v>31-35</c:v>
                </c:pt>
                <c:pt idx="3">
                  <c:v>36-40</c:v>
                </c:pt>
                <c:pt idx="4">
                  <c:v>41-45</c:v>
                </c:pt>
                <c:pt idx="5">
                  <c:v>46-50</c:v>
                </c:pt>
                <c:pt idx="6">
                  <c:v>51-55</c:v>
                </c:pt>
                <c:pt idx="7">
                  <c:v>56-60</c:v>
                </c:pt>
                <c:pt idx="8">
                  <c:v>61 and above</c:v>
                </c:pt>
              </c:strCache>
            </c:strRef>
          </c:cat>
          <c:val>
            <c:numRef>
              <c:f>Age!$C$5:$C$14</c:f>
              <c:numCache>
                <c:formatCode>General</c:formatCode>
                <c:ptCount val="9"/>
                <c:pt idx="1">
                  <c:v>2</c:v>
                </c:pt>
                <c:pt idx="2">
                  <c:v>1</c:v>
                </c:pt>
                <c:pt idx="3">
                  <c:v>1</c:v>
                </c:pt>
                <c:pt idx="4">
                  <c:v>2</c:v>
                </c:pt>
                <c:pt idx="5">
                  <c:v>3</c:v>
                </c:pt>
                <c:pt idx="6">
                  <c:v>6</c:v>
                </c:pt>
                <c:pt idx="7">
                  <c:v>5</c:v>
                </c:pt>
                <c:pt idx="8">
                  <c:v>14</c:v>
                </c:pt>
              </c:numCache>
            </c:numRef>
          </c:val>
          <c:extLst>
            <c:ext xmlns:c16="http://schemas.microsoft.com/office/drawing/2014/chart" uri="{C3380CC4-5D6E-409C-BE32-E72D297353CC}">
              <c16:uniqueId val="{00000001-A8E1-42FE-9957-470294E8D6A5}"/>
            </c:ext>
          </c:extLst>
        </c:ser>
        <c:dLbls>
          <c:showLegendKey val="0"/>
          <c:showVal val="0"/>
          <c:showCatName val="0"/>
          <c:showSerName val="0"/>
          <c:showPercent val="0"/>
          <c:showBubbleSize val="0"/>
        </c:dLbls>
        <c:gapWidth val="219"/>
        <c:overlap val="-27"/>
        <c:axId val="686881039"/>
        <c:axId val="686862319"/>
      </c:barChart>
      <c:catAx>
        <c:axId val="686881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862319"/>
        <c:crosses val="autoZero"/>
        <c:auto val="1"/>
        <c:lblAlgn val="ctr"/>
        <c:lblOffset val="100"/>
        <c:noMultiLvlLbl val="0"/>
      </c:catAx>
      <c:valAx>
        <c:axId val="686862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88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[Tree_Species_Assesement.xlsx]Age1!PivotTable21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Age-Group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'Age1'!$A$4:$A$13</c:f>
              <c:strCache>
                <c:ptCount val="9"/>
                <c:pt idx="0">
                  <c:v>18-25</c:v>
                </c:pt>
                <c:pt idx="1">
                  <c:v>26-30</c:v>
                </c:pt>
                <c:pt idx="2">
                  <c:v>31-35</c:v>
                </c:pt>
                <c:pt idx="3">
                  <c:v>36-40</c:v>
                </c:pt>
                <c:pt idx="4">
                  <c:v>41-45</c:v>
                </c:pt>
                <c:pt idx="5">
                  <c:v>46-50</c:v>
                </c:pt>
                <c:pt idx="6">
                  <c:v>51-55</c:v>
                </c:pt>
                <c:pt idx="7">
                  <c:v>56-60</c:v>
                </c:pt>
                <c:pt idx="8">
                  <c:v>61 and above</c:v>
                </c:pt>
              </c:strCache>
            </c:strRef>
          </c:cat>
          <c:val>
            <c:numRef>
              <c:f>'Age1'!$B$4:$B$13</c:f>
              <c:numCache>
                <c:formatCode>General</c:formatCode>
                <c:ptCount val="9"/>
                <c:pt idx="0">
                  <c:v>1</c:v>
                </c:pt>
                <c:pt idx="1">
                  <c:v>2</c:v>
                </c:pt>
                <c:pt idx="2">
                  <c:v>3</c:v>
                </c:pt>
                <c:pt idx="3">
                  <c:v>6</c:v>
                </c:pt>
                <c:pt idx="4">
                  <c:v>9</c:v>
                </c:pt>
                <c:pt idx="5">
                  <c:v>7</c:v>
                </c:pt>
                <c:pt idx="6">
                  <c:v>11</c:v>
                </c:pt>
                <c:pt idx="7">
                  <c:v>10</c:v>
                </c:pt>
                <c:pt idx="8">
                  <c:v>20</c:v>
                </c:pt>
              </c:numCache>
            </c:numRef>
          </c:val>
          <c:extLst>
            <c:ext xmlns:c16="http://schemas.microsoft.com/office/drawing/2014/chart" uri="{C3380CC4-5D6E-409C-BE32-E72D297353CC}">
              <c16:uniqueId val="{00000000-65BA-485D-8207-95A2991D930B}"/>
            </c:ext>
          </c:extLst>
        </c:ser>
        <c:dLbls>
          <c:dLblPos val="outEnd"/>
          <c:showLegendKey val="0"/>
          <c:showVal val="1"/>
          <c:showCatName val="0"/>
          <c:showSerName val="0"/>
          <c:showPercent val="0"/>
          <c:showBubbleSize val="0"/>
        </c:dLbls>
        <c:gapWidth val="219"/>
        <c:overlap val="-27"/>
        <c:axId val="1821353760"/>
        <c:axId val="1821354240"/>
      </c:barChart>
      <c:catAx>
        <c:axId val="182135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354240"/>
        <c:crosses val="autoZero"/>
        <c:auto val="1"/>
        <c:lblAlgn val="ctr"/>
        <c:lblOffset val="100"/>
        <c:noMultiLvlLbl val="0"/>
      </c:catAx>
      <c:valAx>
        <c:axId val="1821354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35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[Tree_Species_Assesement.xlsx]Occupation!PivotTable3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Farmers Vs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Occupation!$B$3:$B$4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Occupation!$A$5:$A$6</c:f>
              <c:strCache>
                <c:ptCount val="1"/>
                <c:pt idx="0">
                  <c:v>Farmer</c:v>
                </c:pt>
              </c:strCache>
            </c:strRef>
          </c:cat>
          <c:val>
            <c:numRef>
              <c:f>Occupation!$B$5:$B$6</c:f>
              <c:numCache>
                <c:formatCode>General</c:formatCode>
                <c:ptCount val="1"/>
                <c:pt idx="0">
                  <c:v>23</c:v>
                </c:pt>
              </c:numCache>
            </c:numRef>
          </c:val>
          <c:extLst>
            <c:ext xmlns:c16="http://schemas.microsoft.com/office/drawing/2014/chart" uri="{C3380CC4-5D6E-409C-BE32-E72D297353CC}">
              <c16:uniqueId val="{00000000-9402-4A45-8964-CAFAEF1E5483}"/>
            </c:ext>
          </c:extLst>
        </c:ser>
        <c:ser>
          <c:idx val="1"/>
          <c:order val="1"/>
          <c:tx>
            <c:strRef>
              <c:f>Occupation!$C$3:$C$4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Occupation!$A$5:$A$6</c:f>
              <c:strCache>
                <c:ptCount val="1"/>
                <c:pt idx="0">
                  <c:v>Farmer</c:v>
                </c:pt>
              </c:strCache>
            </c:strRef>
          </c:cat>
          <c:val>
            <c:numRef>
              <c:f>Occupation!$C$5:$C$6</c:f>
              <c:numCache>
                <c:formatCode>General</c:formatCode>
                <c:ptCount val="1"/>
                <c:pt idx="0">
                  <c:v>19</c:v>
                </c:pt>
              </c:numCache>
            </c:numRef>
          </c:val>
          <c:extLst>
            <c:ext xmlns:c16="http://schemas.microsoft.com/office/drawing/2014/chart" uri="{C3380CC4-5D6E-409C-BE32-E72D297353CC}">
              <c16:uniqueId val="{00000001-9402-4A45-8964-CAFAEF1E5483}"/>
            </c:ext>
          </c:extLst>
        </c:ser>
        <c:dLbls>
          <c:dLblPos val="outEnd"/>
          <c:showLegendKey val="0"/>
          <c:showVal val="1"/>
          <c:showCatName val="0"/>
          <c:showSerName val="0"/>
          <c:showPercent val="0"/>
          <c:showBubbleSize val="0"/>
        </c:dLbls>
        <c:gapWidth val="219"/>
        <c:overlap val="-27"/>
        <c:axId val="686883919"/>
        <c:axId val="686891599"/>
      </c:barChart>
      <c:catAx>
        <c:axId val="68688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891599"/>
        <c:crosses val="autoZero"/>
        <c:auto val="1"/>
        <c:lblAlgn val="ctr"/>
        <c:lblOffset val="100"/>
        <c:noMultiLvlLbl val="0"/>
      </c:catAx>
      <c:valAx>
        <c:axId val="686891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88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[Tree_Species_Assesement.xlsx]Education!PivotTable4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of Education</a:t>
            </a:r>
          </a:p>
        </c:rich>
      </c:tx>
      <c:layout>
        <c:manualLayout>
          <c:xMode val="edge"/>
          <c:yMode val="edge"/>
          <c:x val="0.36750000000000005"/>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Education!$A$4:$A$7</c:f>
              <c:strCache>
                <c:ptCount val="3"/>
                <c:pt idx="0">
                  <c:v>Primary </c:v>
                </c:pt>
                <c:pt idx="1">
                  <c:v>Secondary </c:v>
                </c:pt>
                <c:pt idx="2">
                  <c:v>Tertiary</c:v>
                </c:pt>
              </c:strCache>
            </c:strRef>
          </c:cat>
          <c:val>
            <c:numRef>
              <c:f>Education!$B$4:$B$7</c:f>
              <c:numCache>
                <c:formatCode>General</c:formatCode>
                <c:ptCount val="3"/>
                <c:pt idx="0">
                  <c:v>19</c:v>
                </c:pt>
                <c:pt idx="1">
                  <c:v>13</c:v>
                </c:pt>
                <c:pt idx="2">
                  <c:v>37</c:v>
                </c:pt>
              </c:numCache>
            </c:numRef>
          </c:val>
          <c:extLst>
            <c:ext xmlns:c16="http://schemas.microsoft.com/office/drawing/2014/chart" uri="{C3380CC4-5D6E-409C-BE32-E72D297353CC}">
              <c16:uniqueId val="{00000000-1397-4BD0-AC34-B947EEA3C9FD}"/>
            </c:ext>
          </c:extLst>
        </c:ser>
        <c:dLbls>
          <c:dLblPos val="outEnd"/>
          <c:showLegendKey val="0"/>
          <c:showVal val="1"/>
          <c:showCatName val="0"/>
          <c:showSerName val="0"/>
          <c:showPercent val="0"/>
          <c:showBubbleSize val="0"/>
        </c:dLbls>
        <c:gapWidth val="219"/>
        <c:overlap val="-27"/>
        <c:axId val="686889679"/>
        <c:axId val="686908399"/>
      </c:barChart>
      <c:catAx>
        <c:axId val="686889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Education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908399"/>
        <c:crosses val="autoZero"/>
        <c:auto val="1"/>
        <c:lblAlgn val="ctr"/>
        <c:lblOffset val="100"/>
        <c:noMultiLvlLbl val="0"/>
      </c:catAx>
      <c:valAx>
        <c:axId val="686908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Respondents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88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[Tree_Species_Assesement.xlsx]Education1!PivotTable1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Vs Level of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Education1!$B$3:$B$4</c:f>
              <c:strCache>
                <c:ptCount val="1"/>
                <c:pt idx="0">
                  <c:v>Primary </c:v>
                </c:pt>
              </c:strCache>
            </c:strRef>
          </c:tx>
          <c:spPr>
            <a:solidFill>
              <a:schemeClr val="accent1"/>
            </a:solidFill>
            <a:ln>
              <a:noFill/>
            </a:ln>
            <a:effectLst/>
          </c:spPr>
          <c:invertIfNegative val="0"/>
          <c:cat>
            <c:strRef>
              <c:f>Education1!$A$5:$A$14</c:f>
              <c:strCache>
                <c:ptCount val="9"/>
                <c:pt idx="0">
                  <c:v>18-25</c:v>
                </c:pt>
                <c:pt idx="1">
                  <c:v>26-30</c:v>
                </c:pt>
                <c:pt idx="2">
                  <c:v>31-35</c:v>
                </c:pt>
                <c:pt idx="3">
                  <c:v>36-40</c:v>
                </c:pt>
                <c:pt idx="4">
                  <c:v>41-45</c:v>
                </c:pt>
                <c:pt idx="5">
                  <c:v>46-50</c:v>
                </c:pt>
                <c:pt idx="6">
                  <c:v>51-55</c:v>
                </c:pt>
                <c:pt idx="7">
                  <c:v>56-60</c:v>
                </c:pt>
                <c:pt idx="8">
                  <c:v>61 and above</c:v>
                </c:pt>
              </c:strCache>
            </c:strRef>
          </c:cat>
          <c:val>
            <c:numRef>
              <c:f>Education1!$B$5:$B$14</c:f>
              <c:numCache>
                <c:formatCode>General</c:formatCode>
                <c:ptCount val="9"/>
                <c:pt idx="2">
                  <c:v>1</c:v>
                </c:pt>
                <c:pt idx="3">
                  <c:v>2</c:v>
                </c:pt>
                <c:pt idx="4">
                  <c:v>4</c:v>
                </c:pt>
                <c:pt idx="5">
                  <c:v>1</c:v>
                </c:pt>
                <c:pt idx="6">
                  <c:v>1</c:v>
                </c:pt>
                <c:pt idx="7">
                  <c:v>1</c:v>
                </c:pt>
                <c:pt idx="8">
                  <c:v>9</c:v>
                </c:pt>
              </c:numCache>
            </c:numRef>
          </c:val>
          <c:extLst>
            <c:ext xmlns:c16="http://schemas.microsoft.com/office/drawing/2014/chart" uri="{C3380CC4-5D6E-409C-BE32-E72D297353CC}">
              <c16:uniqueId val="{00000000-EC3B-4CA4-A756-1E269E49DD58}"/>
            </c:ext>
          </c:extLst>
        </c:ser>
        <c:ser>
          <c:idx val="1"/>
          <c:order val="1"/>
          <c:tx>
            <c:strRef>
              <c:f>Education1!$C$3:$C$4</c:f>
              <c:strCache>
                <c:ptCount val="1"/>
                <c:pt idx="0">
                  <c:v>Secondary </c:v>
                </c:pt>
              </c:strCache>
            </c:strRef>
          </c:tx>
          <c:spPr>
            <a:solidFill>
              <a:schemeClr val="accent2"/>
            </a:solidFill>
            <a:ln>
              <a:noFill/>
            </a:ln>
            <a:effectLst/>
          </c:spPr>
          <c:invertIfNegative val="0"/>
          <c:cat>
            <c:strRef>
              <c:f>Education1!$A$5:$A$14</c:f>
              <c:strCache>
                <c:ptCount val="9"/>
                <c:pt idx="0">
                  <c:v>18-25</c:v>
                </c:pt>
                <c:pt idx="1">
                  <c:v>26-30</c:v>
                </c:pt>
                <c:pt idx="2">
                  <c:v>31-35</c:v>
                </c:pt>
                <c:pt idx="3">
                  <c:v>36-40</c:v>
                </c:pt>
                <c:pt idx="4">
                  <c:v>41-45</c:v>
                </c:pt>
                <c:pt idx="5">
                  <c:v>46-50</c:v>
                </c:pt>
                <c:pt idx="6">
                  <c:v>51-55</c:v>
                </c:pt>
                <c:pt idx="7">
                  <c:v>56-60</c:v>
                </c:pt>
                <c:pt idx="8">
                  <c:v>61 and above</c:v>
                </c:pt>
              </c:strCache>
            </c:strRef>
          </c:cat>
          <c:val>
            <c:numRef>
              <c:f>Education1!$C$5:$C$14</c:f>
              <c:numCache>
                <c:formatCode>General</c:formatCode>
                <c:ptCount val="9"/>
                <c:pt idx="2">
                  <c:v>1</c:v>
                </c:pt>
                <c:pt idx="3">
                  <c:v>2</c:v>
                </c:pt>
                <c:pt idx="4">
                  <c:v>1</c:v>
                </c:pt>
                <c:pt idx="5">
                  <c:v>1</c:v>
                </c:pt>
                <c:pt idx="6">
                  <c:v>3</c:v>
                </c:pt>
                <c:pt idx="7">
                  <c:v>3</c:v>
                </c:pt>
                <c:pt idx="8">
                  <c:v>2</c:v>
                </c:pt>
              </c:numCache>
            </c:numRef>
          </c:val>
          <c:extLst>
            <c:ext xmlns:c16="http://schemas.microsoft.com/office/drawing/2014/chart" uri="{C3380CC4-5D6E-409C-BE32-E72D297353CC}">
              <c16:uniqueId val="{00000001-EC3B-4CA4-A756-1E269E49DD58}"/>
            </c:ext>
          </c:extLst>
        </c:ser>
        <c:ser>
          <c:idx val="2"/>
          <c:order val="2"/>
          <c:tx>
            <c:strRef>
              <c:f>Education1!$D$3:$D$4</c:f>
              <c:strCache>
                <c:ptCount val="1"/>
                <c:pt idx="0">
                  <c:v>Tertiary</c:v>
                </c:pt>
              </c:strCache>
            </c:strRef>
          </c:tx>
          <c:spPr>
            <a:solidFill>
              <a:schemeClr val="accent3"/>
            </a:solidFill>
            <a:ln>
              <a:noFill/>
            </a:ln>
            <a:effectLst/>
          </c:spPr>
          <c:invertIfNegative val="0"/>
          <c:cat>
            <c:strRef>
              <c:f>Education1!$A$5:$A$14</c:f>
              <c:strCache>
                <c:ptCount val="9"/>
                <c:pt idx="0">
                  <c:v>18-25</c:v>
                </c:pt>
                <c:pt idx="1">
                  <c:v>26-30</c:v>
                </c:pt>
                <c:pt idx="2">
                  <c:v>31-35</c:v>
                </c:pt>
                <c:pt idx="3">
                  <c:v>36-40</c:v>
                </c:pt>
                <c:pt idx="4">
                  <c:v>41-45</c:v>
                </c:pt>
                <c:pt idx="5">
                  <c:v>46-50</c:v>
                </c:pt>
                <c:pt idx="6">
                  <c:v>51-55</c:v>
                </c:pt>
                <c:pt idx="7">
                  <c:v>56-60</c:v>
                </c:pt>
                <c:pt idx="8">
                  <c:v>61 and above</c:v>
                </c:pt>
              </c:strCache>
            </c:strRef>
          </c:cat>
          <c:val>
            <c:numRef>
              <c:f>Education1!$D$5:$D$14</c:f>
              <c:numCache>
                <c:formatCode>General</c:formatCode>
                <c:ptCount val="9"/>
                <c:pt idx="0">
                  <c:v>1</c:v>
                </c:pt>
                <c:pt idx="1">
                  <c:v>2</c:v>
                </c:pt>
                <c:pt idx="2">
                  <c:v>1</c:v>
                </c:pt>
                <c:pt idx="3">
                  <c:v>2</c:v>
                </c:pt>
                <c:pt idx="4">
                  <c:v>4</c:v>
                </c:pt>
                <c:pt idx="5">
                  <c:v>5</c:v>
                </c:pt>
                <c:pt idx="6">
                  <c:v>7</c:v>
                </c:pt>
                <c:pt idx="7">
                  <c:v>6</c:v>
                </c:pt>
                <c:pt idx="8">
                  <c:v>9</c:v>
                </c:pt>
              </c:numCache>
            </c:numRef>
          </c:val>
          <c:extLst>
            <c:ext xmlns:c16="http://schemas.microsoft.com/office/drawing/2014/chart" uri="{C3380CC4-5D6E-409C-BE32-E72D297353CC}">
              <c16:uniqueId val="{00000002-EC3B-4CA4-A756-1E269E49DD58}"/>
            </c:ext>
          </c:extLst>
        </c:ser>
        <c:dLbls>
          <c:showLegendKey val="0"/>
          <c:showVal val="0"/>
          <c:showCatName val="0"/>
          <c:showSerName val="0"/>
          <c:showPercent val="0"/>
          <c:showBubbleSize val="0"/>
        </c:dLbls>
        <c:gapWidth val="219"/>
        <c:overlap val="-27"/>
        <c:axId val="663230080"/>
        <c:axId val="663234880"/>
      </c:barChart>
      <c:catAx>
        <c:axId val="663230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234880"/>
        <c:crosses val="autoZero"/>
        <c:auto val="1"/>
        <c:lblAlgn val="ctr"/>
        <c:lblOffset val="100"/>
        <c:noMultiLvlLbl val="0"/>
      </c:catAx>
      <c:valAx>
        <c:axId val="66323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23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Source of livelihood</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24124868766404201"/>
          <c:y val="0.17385671179821791"/>
          <c:w val="0.68497353455818022"/>
          <c:h val="0.60725284339457564"/>
        </c:manualLayout>
      </c:layout>
      <c:barChart>
        <c:barDir val="bar"/>
        <c:grouping val="stacked"/>
        <c:varyColors val="0"/>
        <c:ser>
          <c:idx val="0"/>
          <c:order val="0"/>
          <c:tx>
            <c:strRef>
              <c:f>Livelihood!$C$1</c:f>
              <c:strCache>
                <c:ptCount val="1"/>
                <c:pt idx="0">
                  <c:v>Count</c:v>
                </c:pt>
              </c:strCache>
            </c:strRef>
          </c:tx>
          <c:spPr>
            <a:solidFill>
              <a:schemeClr val="accent1"/>
            </a:solidFill>
            <a:ln>
              <a:noFill/>
            </a:ln>
            <a:effectLst/>
          </c:spPr>
          <c:invertIfNegative val="0"/>
          <c:dLbls>
            <c:dLbl>
              <c:idx val="3"/>
              <c:layout>
                <c:manualLayout>
                  <c:x val="-2.5000000000000001E-2"/>
                  <c:y val="9.275357238192999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0C-413A-8828-EAAC80A815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Livelihood!$B$2:$B$5</c:f>
              <c:strCache>
                <c:ptCount val="4"/>
                <c:pt idx="0">
                  <c:v>Crop Farming</c:v>
                </c:pt>
                <c:pt idx="1">
                  <c:v>Livestock Keeping</c:v>
                </c:pt>
                <c:pt idx="2">
                  <c:v>Agroforestry</c:v>
                </c:pt>
                <c:pt idx="3">
                  <c:v>Others</c:v>
                </c:pt>
              </c:strCache>
            </c:strRef>
          </c:cat>
          <c:val>
            <c:numRef>
              <c:f>Livelihood!$C$2:$C$5</c:f>
              <c:numCache>
                <c:formatCode>General</c:formatCode>
                <c:ptCount val="4"/>
                <c:pt idx="0">
                  <c:v>66</c:v>
                </c:pt>
                <c:pt idx="1">
                  <c:v>48</c:v>
                </c:pt>
                <c:pt idx="2">
                  <c:v>46</c:v>
                </c:pt>
                <c:pt idx="3">
                  <c:v>12</c:v>
                </c:pt>
              </c:numCache>
            </c:numRef>
          </c:val>
          <c:extLst>
            <c:ext xmlns:c16="http://schemas.microsoft.com/office/drawing/2014/chart" uri="{C3380CC4-5D6E-409C-BE32-E72D297353CC}">
              <c16:uniqueId val="{00000000-40D1-4EE7-9298-13B072ECCCEA}"/>
            </c:ext>
          </c:extLst>
        </c:ser>
        <c:ser>
          <c:idx val="1"/>
          <c:order val="1"/>
          <c:tx>
            <c:strRef>
              <c:f>Livelihood!$D$1</c:f>
              <c:strCache>
                <c:ptCount val="1"/>
                <c:pt idx="0">
                  <c:v>Percentage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Livelihood!$B$2:$B$5</c:f>
              <c:strCache>
                <c:ptCount val="4"/>
                <c:pt idx="0">
                  <c:v>Crop Farming</c:v>
                </c:pt>
                <c:pt idx="1">
                  <c:v>Livestock Keeping</c:v>
                </c:pt>
                <c:pt idx="2">
                  <c:v>Agroforestry</c:v>
                </c:pt>
                <c:pt idx="3">
                  <c:v>Others</c:v>
                </c:pt>
              </c:strCache>
            </c:strRef>
          </c:cat>
          <c:val>
            <c:numRef>
              <c:f>Livelihood!$D$2:$D$5</c:f>
              <c:numCache>
                <c:formatCode>0.00%</c:formatCode>
                <c:ptCount val="4"/>
                <c:pt idx="0">
                  <c:v>0.95699999999999996</c:v>
                </c:pt>
                <c:pt idx="1">
                  <c:v>0.69599999999999995</c:v>
                </c:pt>
                <c:pt idx="2">
                  <c:v>0.66700000000000004</c:v>
                </c:pt>
                <c:pt idx="3">
                  <c:v>0.17399999999999999</c:v>
                </c:pt>
              </c:numCache>
            </c:numRef>
          </c:val>
          <c:extLst>
            <c:ext xmlns:c16="http://schemas.microsoft.com/office/drawing/2014/chart" uri="{C3380CC4-5D6E-409C-BE32-E72D297353CC}">
              <c16:uniqueId val="{00000001-40D1-4EE7-9298-13B072ECCCEA}"/>
            </c:ext>
          </c:extLst>
        </c:ser>
        <c:dLbls>
          <c:dLblPos val="ctr"/>
          <c:showLegendKey val="0"/>
          <c:showVal val="1"/>
          <c:showCatName val="0"/>
          <c:showSerName val="0"/>
          <c:showPercent val="0"/>
          <c:showBubbleSize val="0"/>
        </c:dLbls>
        <c:gapWidth val="150"/>
        <c:overlap val="100"/>
        <c:axId val="523944400"/>
        <c:axId val="523946320"/>
      </c:barChart>
      <c:catAx>
        <c:axId val="52394440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Livelihood Source</a:t>
                </a:r>
              </a:p>
            </c:rich>
          </c:tx>
          <c:layout>
            <c:manualLayout>
              <c:xMode val="edge"/>
              <c:yMode val="edge"/>
              <c:x val="8.3333333333333332E-3"/>
              <c:y val="0.3013673118152349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23946320"/>
        <c:crosses val="autoZero"/>
        <c:auto val="1"/>
        <c:lblAlgn val="ctr"/>
        <c:lblOffset val="100"/>
        <c:noMultiLvlLbl val="0"/>
      </c:catAx>
      <c:valAx>
        <c:axId val="52394632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Frequency &amp; %ge</a:t>
                </a:r>
              </a:p>
            </c:rich>
          </c:tx>
          <c:layout>
            <c:manualLayout>
              <c:xMode val="edge"/>
              <c:yMode val="edge"/>
              <c:x val="0.47269378827646547"/>
              <c:y val="0.8794203559034909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23944400"/>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7.5358486439195127E-2"/>
          <c:y val="0.89855023244994681"/>
          <c:w val="0.27706080489938756"/>
          <c:h val="7.82613744545706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[Tree_Species_Assesement.xlsx]LIvelihood1!PivotTable6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Vs Livelihood Sources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LIvelihood1!$B$3</c:f>
              <c:strCache>
                <c:ptCount val="1"/>
                <c:pt idx="0">
                  <c:v>-Crop farming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LIvelihood1!$A$4:$A$6</c:f>
              <c:strCache>
                <c:ptCount val="2"/>
                <c:pt idx="0">
                  <c:v>Female</c:v>
                </c:pt>
                <c:pt idx="1">
                  <c:v>Male</c:v>
                </c:pt>
              </c:strCache>
            </c:strRef>
          </c:cat>
          <c:val>
            <c:numRef>
              <c:f>LIvelihood1!$B$4:$B$6</c:f>
              <c:numCache>
                <c:formatCode>General</c:formatCode>
                <c:ptCount val="2"/>
                <c:pt idx="0">
                  <c:v>33</c:v>
                </c:pt>
                <c:pt idx="1">
                  <c:v>33</c:v>
                </c:pt>
              </c:numCache>
            </c:numRef>
          </c:val>
          <c:extLst>
            <c:ext xmlns:c16="http://schemas.microsoft.com/office/drawing/2014/chart" uri="{C3380CC4-5D6E-409C-BE32-E72D297353CC}">
              <c16:uniqueId val="{00000000-FB3A-4C04-BA7E-B49F3BFA1275}"/>
            </c:ext>
          </c:extLst>
        </c:ser>
        <c:ser>
          <c:idx val="1"/>
          <c:order val="1"/>
          <c:tx>
            <c:strRef>
              <c:f>LIvelihood1!$C$3</c:f>
              <c:strCache>
                <c:ptCount val="1"/>
                <c:pt idx="0">
                  <c:v>-Other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LIvelihood1!$A$4:$A$6</c:f>
              <c:strCache>
                <c:ptCount val="2"/>
                <c:pt idx="0">
                  <c:v>Female</c:v>
                </c:pt>
                <c:pt idx="1">
                  <c:v>Male</c:v>
                </c:pt>
              </c:strCache>
            </c:strRef>
          </c:cat>
          <c:val>
            <c:numRef>
              <c:f>LIvelihood1!$C$4:$C$6</c:f>
              <c:numCache>
                <c:formatCode>General</c:formatCode>
                <c:ptCount val="2"/>
                <c:pt idx="0">
                  <c:v>5</c:v>
                </c:pt>
                <c:pt idx="1">
                  <c:v>7</c:v>
                </c:pt>
              </c:numCache>
            </c:numRef>
          </c:val>
          <c:extLst>
            <c:ext xmlns:c16="http://schemas.microsoft.com/office/drawing/2014/chart" uri="{C3380CC4-5D6E-409C-BE32-E72D297353CC}">
              <c16:uniqueId val="{00000001-FB3A-4C04-BA7E-B49F3BFA1275}"/>
            </c:ext>
          </c:extLst>
        </c:ser>
        <c:ser>
          <c:idx val="2"/>
          <c:order val="2"/>
          <c:tx>
            <c:strRef>
              <c:f>LIvelihood1!$D$3</c:f>
              <c:strCache>
                <c:ptCount val="1"/>
                <c:pt idx="0">
                  <c:v>-Agroforestry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LIvelihood1!$A$4:$A$6</c:f>
              <c:strCache>
                <c:ptCount val="2"/>
                <c:pt idx="0">
                  <c:v>Female</c:v>
                </c:pt>
                <c:pt idx="1">
                  <c:v>Male</c:v>
                </c:pt>
              </c:strCache>
            </c:strRef>
          </c:cat>
          <c:val>
            <c:numRef>
              <c:f>LIvelihood1!$D$4:$D$6</c:f>
              <c:numCache>
                <c:formatCode>General</c:formatCode>
                <c:ptCount val="2"/>
                <c:pt idx="0">
                  <c:v>23</c:v>
                </c:pt>
                <c:pt idx="1">
                  <c:v>23</c:v>
                </c:pt>
              </c:numCache>
            </c:numRef>
          </c:val>
          <c:extLst>
            <c:ext xmlns:c16="http://schemas.microsoft.com/office/drawing/2014/chart" uri="{C3380CC4-5D6E-409C-BE32-E72D297353CC}">
              <c16:uniqueId val="{00000002-FB3A-4C04-BA7E-B49F3BFA1275}"/>
            </c:ext>
          </c:extLst>
        </c:ser>
        <c:ser>
          <c:idx val="3"/>
          <c:order val="3"/>
          <c:tx>
            <c:strRef>
              <c:f>LIvelihood1!$E$3</c:f>
              <c:strCache>
                <c:ptCount val="1"/>
                <c:pt idx="0">
                  <c:v>-Livestock keeping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LIvelihood1!$A$4:$A$6</c:f>
              <c:strCache>
                <c:ptCount val="2"/>
                <c:pt idx="0">
                  <c:v>Female</c:v>
                </c:pt>
                <c:pt idx="1">
                  <c:v>Male</c:v>
                </c:pt>
              </c:strCache>
            </c:strRef>
          </c:cat>
          <c:val>
            <c:numRef>
              <c:f>LIvelihood1!$E$4:$E$6</c:f>
              <c:numCache>
                <c:formatCode>General</c:formatCode>
                <c:ptCount val="2"/>
                <c:pt idx="0">
                  <c:v>23</c:v>
                </c:pt>
                <c:pt idx="1">
                  <c:v>25</c:v>
                </c:pt>
              </c:numCache>
            </c:numRef>
          </c:val>
          <c:extLst>
            <c:ext xmlns:c16="http://schemas.microsoft.com/office/drawing/2014/chart" uri="{C3380CC4-5D6E-409C-BE32-E72D297353CC}">
              <c16:uniqueId val="{00000003-FB3A-4C04-BA7E-B49F3BFA1275}"/>
            </c:ext>
          </c:extLst>
        </c:ser>
        <c:dLbls>
          <c:dLblPos val="outEnd"/>
          <c:showLegendKey val="0"/>
          <c:showVal val="1"/>
          <c:showCatName val="0"/>
          <c:showSerName val="0"/>
          <c:showPercent val="0"/>
          <c:showBubbleSize val="0"/>
        </c:dLbls>
        <c:gapWidth val="219"/>
        <c:overlap val="-27"/>
        <c:axId val="763502783"/>
        <c:axId val="763499903"/>
      </c:barChart>
      <c:catAx>
        <c:axId val="763502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499903"/>
        <c:crosses val="autoZero"/>
        <c:auto val="1"/>
        <c:lblAlgn val="ctr"/>
        <c:lblOffset val="100"/>
        <c:noMultiLvlLbl val="0"/>
      </c:catAx>
      <c:valAx>
        <c:axId val="763499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50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[Tree_Species_Assesement.xlsx]Forestry!PivotTable7</c:name>
    <c:fmtId val="3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Forestry Practice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Forestry!$B$3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32-484D-A618-3DE6D84CA86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32-484D-A618-3DE6D84CA8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Forestry!$A$4:$A$6</c:f>
              <c:strCache>
                <c:ptCount val="2"/>
                <c:pt idx="0">
                  <c:v>No</c:v>
                </c:pt>
                <c:pt idx="1">
                  <c:v>Yes</c:v>
                </c:pt>
              </c:strCache>
            </c:strRef>
          </c:cat>
          <c:val>
            <c:numRef>
              <c:f>Forestry!$B$4:$B$6</c:f>
              <c:numCache>
                <c:formatCode>General</c:formatCode>
                <c:ptCount val="2"/>
                <c:pt idx="0">
                  <c:v>53</c:v>
                </c:pt>
                <c:pt idx="1">
                  <c:v>16</c:v>
                </c:pt>
              </c:numCache>
            </c:numRef>
          </c:val>
          <c:extLst>
            <c:ext xmlns:c16="http://schemas.microsoft.com/office/drawing/2014/chart" uri="{C3380CC4-5D6E-409C-BE32-E72D297353CC}">
              <c16:uniqueId val="{00000000-ABDF-4B22-863E-867E6710018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[Tree_Species_Assesement.xlsx]Forestry1!PivotTable23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Vs Forestry Practice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Forestry1!$B$3:$B$4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Forestry1!$A$5:$A$6</c:f>
              <c:strCache>
                <c:ptCount val="1"/>
                <c:pt idx="0">
                  <c:v>Yes</c:v>
                </c:pt>
              </c:strCache>
            </c:strRef>
          </c:cat>
          <c:val>
            <c:numRef>
              <c:f>Forestry1!$B$5:$B$6</c:f>
              <c:numCache>
                <c:formatCode>General</c:formatCode>
                <c:ptCount val="1"/>
                <c:pt idx="0">
                  <c:v>9</c:v>
                </c:pt>
              </c:numCache>
            </c:numRef>
          </c:val>
          <c:extLst>
            <c:ext xmlns:c16="http://schemas.microsoft.com/office/drawing/2014/chart" uri="{C3380CC4-5D6E-409C-BE32-E72D297353CC}">
              <c16:uniqueId val="{00000000-2A56-4780-AF24-08D47EA9AF52}"/>
            </c:ext>
          </c:extLst>
        </c:ser>
        <c:ser>
          <c:idx val="1"/>
          <c:order val="1"/>
          <c:tx>
            <c:strRef>
              <c:f>Forestry1!$C$3:$C$4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Forestry1!$A$5:$A$6</c:f>
              <c:strCache>
                <c:ptCount val="1"/>
                <c:pt idx="0">
                  <c:v>Yes</c:v>
                </c:pt>
              </c:strCache>
            </c:strRef>
          </c:cat>
          <c:val>
            <c:numRef>
              <c:f>Forestry1!$C$5:$C$6</c:f>
              <c:numCache>
                <c:formatCode>General</c:formatCode>
                <c:ptCount val="1"/>
                <c:pt idx="0">
                  <c:v>7</c:v>
                </c:pt>
              </c:numCache>
            </c:numRef>
          </c:val>
          <c:extLst>
            <c:ext xmlns:c16="http://schemas.microsoft.com/office/drawing/2014/chart" uri="{C3380CC4-5D6E-409C-BE32-E72D297353CC}">
              <c16:uniqueId val="{00000001-2A56-4780-AF24-08D47EA9AF52}"/>
            </c:ext>
          </c:extLst>
        </c:ser>
        <c:dLbls>
          <c:dLblPos val="outEnd"/>
          <c:showLegendKey val="0"/>
          <c:showVal val="1"/>
          <c:showCatName val="0"/>
          <c:showSerName val="0"/>
          <c:showPercent val="0"/>
          <c:showBubbleSize val="0"/>
        </c:dLbls>
        <c:gapWidth val="219"/>
        <c:overlap val="-27"/>
        <c:axId val="529336704"/>
        <c:axId val="529365024"/>
      </c:barChart>
      <c:catAx>
        <c:axId val="529336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65024"/>
        <c:crosses val="autoZero"/>
        <c:auto val="1"/>
        <c:lblAlgn val="ctr"/>
        <c:lblOffset val="100"/>
        <c:noMultiLvlLbl val="0"/>
      </c:catAx>
      <c:valAx>
        <c:axId val="529365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3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[Tree_Species_Assesement.xlsx]Forestry2!PivotTable24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Vs Not In Forestry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Forestry2!$B$3:$B$4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Forestry2!$A$5:$A$6</c:f>
              <c:strCache>
                <c:ptCount val="1"/>
                <c:pt idx="0">
                  <c:v>No</c:v>
                </c:pt>
              </c:strCache>
            </c:strRef>
          </c:cat>
          <c:val>
            <c:numRef>
              <c:f>Forestry2!$B$5:$B$6</c:f>
              <c:numCache>
                <c:formatCode>0.00%</c:formatCode>
                <c:ptCount val="1"/>
                <c:pt idx="0">
                  <c:v>0.49056603773584906</c:v>
                </c:pt>
              </c:numCache>
            </c:numRef>
          </c:val>
          <c:extLst>
            <c:ext xmlns:c16="http://schemas.microsoft.com/office/drawing/2014/chart" uri="{C3380CC4-5D6E-409C-BE32-E72D297353CC}">
              <c16:uniqueId val="{00000000-1B48-456A-97AB-B2CB388A8C9F}"/>
            </c:ext>
          </c:extLst>
        </c:ser>
        <c:ser>
          <c:idx val="1"/>
          <c:order val="1"/>
          <c:tx>
            <c:strRef>
              <c:f>Forestry2!$C$3:$C$4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Forestry2!$A$5:$A$6</c:f>
              <c:strCache>
                <c:ptCount val="1"/>
                <c:pt idx="0">
                  <c:v>No</c:v>
                </c:pt>
              </c:strCache>
            </c:strRef>
          </c:cat>
          <c:val>
            <c:numRef>
              <c:f>Forestry2!$C$5:$C$6</c:f>
              <c:numCache>
                <c:formatCode>0.00%</c:formatCode>
                <c:ptCount val="1"/>
                <c:pt idx="0">
                  <c:v>0.50943396226415094</c:v>
                </c:pt>
              </c:numCache>
            </c:numRef>
          </c:val>
          <c:extLst>
            <c:ext xmlns:c16="http://schemas.microsoft.com/office/drawing/2014/chart" uri="{C3380CC4-5D6E-409C-BE32-E72D297353CC}">
              <c16:uniqueId val="{00000001-1B48-456A-97AB-B2CB388A8C9F}"/>
            </c:ext>
          </c:extLst>
        </c:ser>
        <c:dLbls>
          <c:dLblPos val="outEnd"/>
          <c:showLegendKey val="0"/>
          <c:showVal val="1"/>
          <c:showCatName val="0"/>
          <c:showSerName val="0"/>
          <c:showPercent val="0"/>
          <c:showBubbleSize val="0"/>
        </c:dLbls>
        <c:gapWidth val="219"/>
        <c:overlap val="-27"/>
        <c:axId val="529288704"/>
        <c:axId val="529295424"/>
      </c:barChart>
      <c:catAx>
        <c:axId val="529288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95424"/>
        <c:crosses val="autoZero"/>
        <c:auto val="1"/>
        <c:lblAlgn val="ctr"/>
        <c:lblOffset val="100"/>
        <c:noMultiLvlLbl val="0"/>
      </c:catAx>
      <c:valAx>
        <c:axId val="52929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8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[Tree_Species_Assesement.xlsx]Forestry3!PivotTable25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Vs Forestry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Forestry3!$B$3:$B$4</c:f>
              <c:strCache>
                <c:ptCount val="1"/>
                <c:pt idx="0">
                  <c:v>Primary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Forestry3!$A$5:$A$6</c:f>
              <c:strCache>
                <c:ptCount val="1"/>
                <c:pt idx="0">
                  <c:v>Yes</c:v>
                </c:pt>
              </c:strCache>
            </c:strRef>
          </c:cat>
          <c:val>
            <c:numRef>
              <c:f>Forestry3!$B$5:$B$6</c:f>
              <c:numCache>
                <c:formatCode>General</c:formatCode>
                <c:ptCount val="1"/>
                <c:pt idx="0">
                  <c:v>1</c:v>
                </c:pt>
              </c:numCache>
            </c:numRef>
          </c:val>
          <c:extLst>
            <c:ext xmlns:c16="http://schemas.microsoft.com/office/drawing/2014/chart" uri="{C3380CC4-5D6E-409C-BE32-E72D297353CC}">
              <c16:uniqueId val="{00000000-3895-4395-A40A-32C481DF4F79}"/>
            </c:ext>
          </c:extLst>
        </c:ser>
        <c:ser>
          <c:idx val="1"/>
          <c:order val="1"/>
          <c:tx>
            <c:strRef>
              <c:f>Forestry3!$C$3:$C$4</c:f>
              <c:strCache>
                <c:ptCount val="1"/>
                <c:pt idx="0">
                  <c:v>Secondary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Forestry3!$A$5:$A$6</c:f>
              <c:strCache>
                <c:ptCount val="1"/>
                <c:pt idx="0">
                  <c:v>Yes</c:v>
                </c:pt>
              </c:strCache>
            </c:strRef>
          </c:cat>
          <c:val>
            <c:numRef>
              <c:f>Forestry3!$C$5:$C$6</c:f>
              <c:numCache>
                <c:formatCode>General</c:formatCode>
                <c:ptCount val="1"/>
                <c:pt idx="0">
                  <c:v>3</c:v>
                </c:pt>
              </c:numCache>
            </c:numRef>
          </c:val>
          <c:extLst>
            <c:ext xmlns:c16="http://schemas.microsoft.com/office/drawing/2014/chart" uri="{C3380CC4-5D6E-409C-BE32-E72D297353CC}">
              <c16:uniqueId val="{00000001-3895-4395-A40A-32C481DF4F79}"/>
            </c:ext>
          </c:extLst>
        </c:ser>
        <c:ser>
          <c:idx val="2"/>
          <c:order val="2"/>
          <c:tx>
            <c:strRef>
              <c:f>Forestry3!$D$3:$D$4</c:f>
              <c:strCache>
                <c:ptCount val="1"/>
                <c:pt idx="0">
                  <c:v>Tertiary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Forestry3!$A$5:$A$6</c:f>
              <c:strCache>
                <c:ptCount val="1"/>
                <c:pt idx="0">
                  <c:v>Yes</c:v>
                </c:pt>
              </c:strCache>
            </c:strRef>
          </c:cat>
          <c:val>
            <c:numRef>
              <c:f>Forestry3!$D$5:$D$6</c:f>
              <c:numCache>
                <c:formatCode>General</c:formatCode>
                <c:ptCount val="1"/>
                <c:pt idx="0">
                  <c:v>12</c:v>
                </c:pt>
              </c:numCache>
            </c:numRef>
          </c:val>
          <c:extLst>
            <c:ext xmlns:c16="http://schemas.microsoft.com/office/drawing/2014/chart" uri="{C3380CC4-5D6E-409C-BE32-E72D297353CC}">
              <c16:uniqueId val="{00000002-3895-4395-A40A-32C481DF4F79}"/>
            </c:ext>
          </c:extLst>
        </c:ser>
        <c:dLbls>
          <c:dLblPos val="outEnd"/>
          <c:showLegendKey val="0"/>
          <c:showVal val="1"/>
          <c:showCatName val="0"/>
          <c:showSerName val="0"/>
          <c:showPercent val="0"/>
          <c:showBubbleSize val="0"/>
        </c:dLbls>
        <c:gapWidth val="219"/>
        <c:overlap val="-27"/>
        <c:axId val="529345344"/>
        <c:axId val="529347744"/>
      </c:barChart>
      <c:catAx>
        <c:axId val="529345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 of 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47744"/>
        <c:crosses val="autoZero"/>
        <c:auto val="1"/>
        <c:lblAlgn val="ctr"/>
        <c:lblOffset val="100"/>
        <c:noMultiLvlLbl val="0"/>
      </c:catAx>
      <c:valAx>
        <c:axId val="529347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4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[Tree_Species_Assesement.xlsx]Forestry4!PivotTable26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Vs Not In Forestry</a:t>
            </a:r>
          </a:p>
        </c:rich>
      </c:tx>
      <c:layout>
        <c:manualLayout>
          <c:xMode val="edge"/>
          <c:yMode val="edge"/>
          <c:x val="0.27038543410420152"/>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Forestry4!$B$3:$B$4</c:f>
              <c:strCache>
                <c:ptCount val="1"/>
                <c:pt idx="0">
                  <c:v>Primary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Forestry4!$A$5:$A$6</c:f>
              <c:strCache>
                <c:ptCount val="1"/>
                <c:pt idx="0">
                  <c:v>No</c:v>
                </c:pt>
              </c:strCache>
            </c:strRef>
          </c:cat>
          <c:val>
            <c:numRef>
              <c:f>Forestry4!$B$5:$B$6</c:f>
              <c:numCache>
                <c:formatCode>General</c:formatCode>
                <c:ptCount val="1"/>
                <c:pt idx="0">
                  <c:v>18</c:v>
                </c:pt>
              </c:numCache>
            </c:numRef>
          </c:val>
          <c:extLst>
            <c:ext xmlns:c16="http://schemas.microsoft.com/office/drawing/2014/chart" uri="{C3380CC4-5D6E-409C-BE32-E72D297353CC}">
              <c16:uniqueId val="{00000000-2939-46EA-8113-E4725A0C8E5C}"/>
            </c:ext>
          </c:extLst>
        </c:ser>
        <c:ser>
          <c:idx val="1"/>
          <c:order val="1"/>
          <c:tx>
            <c:strRef>
              <c:f>Forestry4!$C$3:$C$4</c:f>
              <c:strCache>
                <c:ptCount val="1"/>
                <c:pt idx="0">
                  <c:v>Secondary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Forestry4!$A$5:$A$6</c:f>
              <c:strCache>
                <c:ptCount val="1"/>
                <c:pt idx="0">
                  <c:v>No</c:v>
                </c:pt>
              </c:strCache>
            </c:strRef>
          </c:cat>
          <c:val>
            <c:numRef>
              <c:f>Forestry4!$C$5:$C$6</c:f>
              <c:numCache>
                <c:formatCode>General</c:formatCode>
                <c:ptCount val="1"/>
                <c:pt idx="0">
                  <c:v>10</c:v>
                </c:pt>
              </c:numCache>
            </c:numRef>
          </c:val>
          <c:extLst>
            <c:ext xmlns:c16="http://schemas.microsoft.com/office/drawing/2014/chart" uri="{C3380CC4-5D6E-409C-BE32-E72D297353CC}">
              <c16:uniqueId val="{00000001-2939-46EA-8113-E4725A0C8E5C}"/>
            </c:ext>
          </c:extLst>
        </c:ser>
        <c:ser>
          <c:idx val="2"/>
          <c:order val="2"/>
          <c:tx>
            <c:strRef>
              <c:f>Forestry4!$D$3:$D$4</c:f>
              <c:strCache>
                <c:ptCount val="1"/>
                <c:pt idx="0">
                  <c:v>Tertiary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Forestry4!$A$5:$A$6</c:f>
              <c:strCache>
                <c:ptCount val="1"/>
                <c:pt idx="0">
                  <c:v>No</c:v>
                </c:pt>
              </c:strCache>
            </c:strRef>
          </c:cat>
          <c:val>
            <c:numRef>
              <c:f>Forestry4!$D$5:$D$6</c:f>
              <c:numCache>
                <c:formatCode>General</c:formatCode>
                <c:ptCount val="1"/>
                <c:pt idx="0">
                  <c:v>25</c:v>
                </c:pt>
              </c:numCache>
            </c:numRef>
          </c:val>
          <c:extLst>
            <c:ext xmlns:c16="http://schemas.microsoft.com/office/drawing/2014/chart" uri="{C3380CC4-5D6E-409C-BE32-E72D297353CC}">
              <c16:uniqueId val="{00000002-2939-46EA-8113-E4725A0C8E5C}"/>
            </c:ext>
          </c:extLst>
        </c:ser>
        <c:dLbls>
          <c:dLblPos val="outEnd"/>
          <c:showLegendKey val="0"/>
          <c:showVal val="1"/>
          <c:showCatName val="0"/>
          <c:showSerName val="0"/>
          <c:showPercent val="0"/>
          <c:showBubbleSize val="0"/>
        </c:dLbls>
        <c:gapWidth val="219"/>
        <c:overlap val="-27"/>
        <c:axId val="1823443936"/>
        <c:axId val="1823429536"/>
      </c:barChart>
      <c:catAx>
        <c:axId val="182344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 of 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29536"/>
        <c:crosses val="autoZero"/>
        <c:auto val="1"/>
        <c:lblAlgn val="ctr"/>
        <c:lblOffset val="100"/>
        <c:noMultiLvlLbl val="0"/>
      </c:catAx>
      <c:valAx>
        <c:axId val="182342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a:t>
                </a:r>
              </a:p>
            </c:rich>
          </c:tx>
          <c:layout>
            <c:manualLayout>
              <c:xMode val="edge"/>
              <c:yMode val="edge"/>
              <c:x val="2.3622047244094488E-2"/>
              <c:y val="0.394251603966170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4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[Tree_Species_Assesement.xlsx]Farm Forestry!PivotTable8</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Practice Farm Forestry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'Farm Forestry'!$B$3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0DB-4C7A-BF18-75BB80EA58C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0DB-4C7A-BF18-75BB80EA58C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'Farm Forestry'!$A$4:$A$6</c:f>
              <c:strCache>
                <c:ptCount val="2"/>
                <c:pt idx="0">
                  <c:v>No </c:v>
                </c:pt>
                <c:pt idx="1">
                  <c:v>Yes </c:v>
                </c:pt>
              </c:strCache>
            </c:strRef>
          </c:cat>
          <c:val>
            <c:numRef>
              <c:f>'Farm Forestry'!$B$4:$B$6</c:f>
              <c:numCache>
                <c:formatCode>General</c:formatCode>
                <c:ptCount val="2"/>
                <c:pt idx="0">
                  <c:v>6</c:v>
                </c:pt>
                <c:pt idx="1">
                  <c:v>63</c:v>
                </c:pt>
              </c:numCache>
            </c:numRef>
          </c:val>
          <c:extLst>
            <c:ext xmlns:c16="http://schemas.microsoft.com/office/drawing/2014/chart" uri="{C3380CC4-5D6E-409C-BE32-E72D297353CC}">
              <c16:uniqueId val="{00000000-09A8-44B3-9C3A-169358120742}"/>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[Tree_Species_Assesement.xlsx]Farmforestry1!PivotTable1</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Farmers &amp; Farm Forestry</a:t>
            </a:r>
          </a:p>
        </c:rich>
      </c:tx>
      <c:layout>
        <c:manualLayout>
          <c:xMode val="edge"/>
          <c:yMode val="edge"/>
          <c:x val="0.24979777485911664"/>
          <c:y val="0.1517570720326625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Farmforestry1!$B$3:$B$4</c:f>
              <c:strCache>
                <c:ptCount val="1"/>
                <c:pt idx="0">
                  <c:v>Farmer</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E0E-4CAE-B334-27286729B45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E0E-4CAE-B334-27286729B45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Farmforestry1!$A$5:$A$7</c:f>
              <c:strCache>
                <c:ptCount val="2"/>
                <c:pt idx="0">
                  <c:v>No </c:v>
                </c:pt>
                <c:pt idx="1">
                  <c:v>Yes </c:v>
                </c:pt>
              </c:strCache>
            </c:strRef>
          </c:cat>
          <c:val>
            <c:numRef>
              <c:f>Farmforestry1!$B$5:$B$7</c:f>
              <c:numCache>
                <c:formatCode>General</c:formatCode>
                <c:ptCount val="2"/>
                <c:pt idx="0">
                  <c:v>3</c:v>
                </c:pt>
                <c:pt idx="1">
                  <c:v>39</c:v>
                </c:pt>
              </c:numCache>
            </c:numRef>
          </c:val>
          <c:extLst>
            <c:ext xmlns:c16="http://schemas.microsoft.com/office/drawing/2014/chart" uri="{C3380CC4-5D6E-409C-BE32-E72D297353CC}">
              <c16:uniqueId val="{00000000-DA4F-4F55-AC45-CDED88C8C6A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[Tree_Species_Assesement.xlsx]Other Practices!PivotTable1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Other Practices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'Other Practices'!$A$3</c:f>
              <c:strCache>
                <c:ptCount val="1"/>
                <c:pt idx="0">
                  <c:v>-Livestock keeping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Practices'!$A$4</c:f>
              <c:strCache>
                <c:ptCount val="1"/>
                <c:pt idx="0">
                  <c:v>Total</c:v>
                </c:pt>
              </c:strCache>
            </c:strRef>
          </c:cat>
          <c:val>
            <c:numRef>
              <c:f>'Other Practices'!$A$4</c:f>
              <c:numCache>
                <c:formatCode>General</c:formatCode>
                <c:ptCount val="1"/>
                <c:pt idx="0">
                  <c:v>53</c:v>
                </c:pt>
              </c:numCache>
            </c:numRef>
          </c:val>
          <c:extLst>
            <c:ext xmlns:c16="http://schemas.microsoft.com/office/drawing/2014/chart" uri="{C3380CC4-5D6E-409C-BE32-E72D297353CC}">
              <c16:uniqueId val="{00000000-7AD4-4C7B-8E71-784FDBA76F68}"/>
            </c:ext>
          </c:extLst>
        </c:ser>
        <c:ser>
          <c:idx val="1"/>
          <c:order val="1"/>
          <c:tx>
            <c:strRef>
              <c:f>'Other Practices'!$B$3</c:f>
              <c:strCache>
                <c:ptCount val="1"/>
                <c:pt idx="0">
                  <c:v>-Bee keeping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Practices'!$A$4</c:f>
              <c:strCache>
                <c:ptCount val="1"/>
                <c:pt idx="0">
                  <c:v>Total</c:v>
                </c:pt>
              </c:strCache>
            </c:strRef>
          </c:cat>
          <c:val>
            <c:numRef>
              <c:f>'Other Practices'!$B$4</c:f>
              <c:numCache>
                <c:formatCode>General</c:formatCode>
                <c:ptCount val="1"/>
                <c:pt idx="0">
                  <c:v>7</c:v>
                </c:pt>
              </c:numCache>
            </c:numRef>
          </c:val>
          <c:extLst>
            <c:ext xmlns:c16="http://schemas.microsoft.com/office/drawing/2014/chart" uri="{C3380CC4-5D6E-409C-BE32-E72D297353CC}">
              <c16:uniqueId val="{00000001-7AD4-4C7B-8E71-784FDBA76F68}"/>
            </c:ext>
          </c:extLst>
        </c:ser>
        <c:ser>
          <c:idx val="2"/>
          <c:order val="2"/>
          <c:tx>
            <c:strRef>
              <c:f>'Other Practices'!$C$3</c:f>
              <c:strCache>
                <c:ptCount val="1"/>
                <c:pt idx="0">
                  <c:v>-Crop farming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Practices'!$A$4</c:f>
              <c:strCache>
                <c:ptCount val="1"/>
                <c:pt idx="0">
                  <c:v>Total</c:v>
                </c:pt>
              </c:strCache>
            </c:strRef>
          </c:cat>
          <c:val>
            <c:numRef>
              <c:f>'Other Practices'!$C$4</c:f>
              <c:numCache>
                <c:formatCode>General</c:formatCode>
                <c:ptCount val="1"/>
                <c:pt idx="0">
                  <c:v>63</c:v>
                </c:pt>
              </c:numCache>
            </c:numRef>
          </c:val>
          <c:extLst>
            <c:ext xmlns:c16="http://schemas.microsoft.com/office/drawing/2014/chart" uri="{C3380CC4-5D6E-409C-BE32-E72D297353CC}">
              <c16:uniqueId val="{00000002-7AD4-4C7B-8E71-784FDBA76F68}"/>
            </c:ext>
          </c:extLst>
        </c:ser>
        <c:ser>
          <c:idx val="3"/>
          <c:order val="3"/>
          <c:tx>
            <c:strRef>
              <c:f>'Other Practices'!$D$3</c:f>
              <c:strCache>
                <c:ptCount val="1"/>
                <c:pt idx="0">
                  <c:v>-Grass planting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Practices'!$A$4</c:f>
              <c:strCache>
                <c:ptCount val="1"/>
                <c:pt idx="0">
                  <c:v>Total</c:v>
                </c:pt>
              </c:strCache>
            </c:strRef>
          </c:cat>
          <c:val>
            <c:numRef>
              <c:f>'Other Practices'!$D$4</c:f>
              <c:numCache>
                <c:formatCode>General</c:formatCode>
                <c:ptCount val="1"/>
                <c:pt idx="0">
                  <c:v>13</c:v>
                </c:pt>
              </c:numCache>
            </c:numRef>
          </c:val>
          <c:extLst>
            <c:ext xmlns:c16="http://schemas.microsoft.com/office/drawing/2014/chart" uri="{C3380CC4-5D6E-409C-BE32-E72D297353CC}">
              <c16:uniqueId val="{00000003-7AD4-4C7B-8E71-784FDBA76F68}"/>
            </c:ext>
          </c:extLst>
        </c:ser>
        <c:ser>
          <c:idx val="4"/>
          <c:order val="4"/>
          <c:tx>
            <c:strRef>
              <c:f>'Other Practices'!$E$3</c:f>
              <c:strCache>
                <c:ptCount val="1"/>
                <c:pt idx="0">
                  <c:v>-Horticulture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Practices'!$A$4</c:f>
              <c:strCache>
                <c:ptCount val="1"/>
                <c:pt idx="0">
                  <c:v>Total</c:v>
                </c:pt>
              </c:strCache>
            </c:strRef>
          </c:cat>
          <c:val>
            <c:numRef>
              <c:f>'Other Practices'!$E$4</c:f>
              <c:numCache>
                <c:formatCode>General</c:formatCode>
                <c:ptCount val="1"/>
                <c:pt idx="0">
                  <c:v>31</c:v>
                </c:pt>
              </c:numCache>
            </c:numRef>
          </c:val>
          <c:extLst>
            <c:ext xmlns:c16="http://schemas.microsoft.com/office/drawing/2014/chart" uri="{C3380CC4-5D6E-409C-BE32-E72D297353CC}">
              <c16:uniqueId val="{00000004-7AD4-4C7B-8E71-784FDBA76F68}"/>
            </c:ext>
          </c:extLst>
        </c:ser>
        <c:dLbls>
          <c:dLblPos val="outEnd"/>
          <c:showLegendKey val="0"/>
          <c:showVal val="1"/>
          <c:showCatName val="0"/>
          <c:showSerName val="0"/>
          <c:showPercent val="0"/>
          <c:showBubbleSize val="0"/>
        </c:dLbls>
        <c:gapWidth val="219"/>
        <c:overlap val="-27"/>
        <c:axId val="529368864"/>
        <c:axId val="529370784"/>
      </c:barChart>
      <c:catAx>
        <c:axId val="52936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Practice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70784"/>
        <c:crosses val="autoZero"/>
        <c:auto val="1"/>
        <c:lblAlgn val="ctr"/>
        <c:lblOffset val="100"/>
        <c:noMultiLvlLbl val="0"/>
      </c:catAx>
      <c:valAx>
        <c:axId val="52937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6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[Tree_Species_Assesement.xlsx]OtherPractices1!PivotTable2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Vs Other Practices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OtherPractices1!$B$3</c:f>
              <c:strCache>
                <c:ptCount val="1"/>
                <c:pt idx="0">
                  <c:v>.Bee keeping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OtherPractices1!$A$4:$A$6</c:f>
              <c:strCache>
                <c:ptCount val="2"/>
                <c:pt idx="0">
                  <c:v>Female</c:v>
                </c:pt>
                <c:pt idx="1">
                  <c:v>Male</c:v>
                </c:pt>
              </c:strCache>
            </c:strRef>
          </c:cat>
          <c:val>
            <c:numRef>
              <c:f>OtherPractices1!$B$4:$B$6</c:f>
              <c:numCache>
                <c:formatCode>General</c:formatCode>
                <c:ptCount val="2"/>
                <c:pt idx="0">
                  <c:v>5</c:v>
                </c:pt>
                <c:pt idx="1">
                  <c:v>2</c:v>
                </c:pt>
              </c:numCache>
            </c:numRef>
          </c:val>
          <c:extLst>
            <c:ext xmlns:c16="http://schemas.microsoft.com/office/drawing/2014/chart" uri="{C3380CC4-5D6E-409C-BE32-E72D297353CC}">
              <c16:uniqueId val="{00000000-8802-4B48-ACFC-20859FB3F220}"/>
            </c:ext>
          </c:extLst>
        </c:ser>
        <c:ser>
          <c:idx val="1"/>
          <c:order val="1"/>
          <c:tx>
            <c:strRef>
              <c:f>OtherPractices1!$C$3</c:f>
              <c:strCache>
                <c:ptCount val="1"/>
                <c:pt idx="0">
                  <c:v>.Crop farming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OtherPractices1!$A$4:$A$6</c:f>
              <c:strCache>
                <c:ptCount val="2"/>
                <c:pt idx="0">
                  <c:v>Female</c:v>
                </c:pt>
                <c:pt idx="1">
                  <c:v>Male</c:v>
                </c:pt>
              </c:strCache>
            </c:strRef>
          </c:cat>
          <c:val>
            <c:numRef>
              <c:f>OtherPractices1!$C$4:$C$6</c:f>
              <c:numCache>
                <c:formatCode>General</c:formatCode>
                <c:ptCount val="2"/>
                <c:pt idx="0">
                  <c:v>32</c:v>
                </c:pt>
                <c:pt idx="1">
                  <c:v>31</c:v>
                </c:pt>
              </c:numCache>
            </c:numRef>
          </c:val>
          <c:extLst>
            <c:ext xmlns:c16="http://schemas.microsoft.com/office/drawing/2014/chart" uri="{C3380CC4-5D6E-409C-BE32-E72D297353CC}">
              <c16:uniqueId val="{00000001-8802-4B48-ACFC-20859FB3F220}"/>
            </c:ext>
          </c:extLst>
        </c:ser>
        <c:ser>
          <c:idx val="2"/>
          <c:order val="2"/>
          <c:tx>
            <c:strRef>
              <c:f>OtherPractices1!$D$3</c:f>
              <c:strCache>
                <c:ptCount val="1"/>
                <c:pt idx="0">
                  <c:v>.Livestock keeping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OtherPractices1!$A$4:$A$6</c:f>
              <c:strCache>
                <c:ptCount val="2"/>
                <c:pt idx="0">
                  <c:v>Female</c:v>
                </c:pt>
                <c:pt idx="1">
                  <c:v>Male</c:v>
                </c:pt>
              </c:strCache>
            </c:strRef>
          </c:cat>
          <c:val>
            <c:numRef>
              <c:f>OtherPractices1!$D$4:$D$6</c:f>
              <c:numCache>
                <c:formatCode>General</c:formatCode>
                <c:ptCount val="2"/>
                <c:pt idx="0">
                  <c:v>27</c:v>
                </c:pt>
                <c:pt idx="1">
                  <c:v>26</c:v>
                </c:pt>
              </c:numCache>
            </c:numRef>
          </c:val>
          <c:extLst>
            <c:ext xmlns:c16="http://schemas.microsoft.com/office/drawing/2014/chart" uri="{C3380CC4-5D6E-409C-BE32-E72D297353CC}">
              <c16:uniqueId val="{00000002-8802-4B48-ACFC-20859FB3F220}"/>
            </c:ext>
          </c:extLst>
        </c:ser>
        <c:ser>
          <c:idx val="3"/>
          <c:order val="3"/>
          <c:tx>
            <c:strRef>
              <c:f>OtherPractices1!$E$3</c:f>
              <c:strCache>
                <c:ptCount val="1"/>
                <c:pt idx="0">
                  <c:v>.Horticulture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OtherPractices1!$A$4:$A$6</c:f>
              <c:strCache>
                <c:ptCount val="2"/>
                <c:pt idx="0">
                  <c:v>Female</c:v>
                </c:pt>
                <c:pt idx="1">
                  <c:v>Male</c:v>
                </c:pt>
              </c:strCache>
            </c:strRef>
          </c:cat>
          <c:val>
            <c:numRef>
              <c:f>OtherPractices1!$E$4:$E$6</c:f>
              <c:numCache>
                <c:formatCode>General</c:formatCode>
                <c:ptCount val="2"/>
                <c:pt idx="0">
                  <c:v>14</c:v>
                </c:pt>
                <c:pt idx="1">
                  <c:v>17</c:v>
                </c:pt>
              </c:numCache>
            </c:numRef>
          </c:val>
          <c:extLst>
            <c:ext xmlns:c16="http://schemas.microsoft.com/office/drawing/2014/chart" uri="{C3380CC4-5D6E-409C-BE32-E72D297353CC}">
              <c16:uniqueId val="{00000003-8802-4B48-ACFC-20859FB3F220}"/>
            </c:ext>
          </c:extLst>
        </c:ser>
        <c:ser>
          <c:idx val="4"/>
          <c:order val="4"/>
          <c:tx>
            <c:strRef>
              <c:f>OtherPractices1!$F$3</c:f>
              <c:strCache>
                <c:ptCount val="1"/>
                <c:pt idx="0">
                  <c:v>.Grass planting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OtherPractices1!$A$4:$A$6</c:f>
              <c:strCache>
                <c:ptCount val="2"/>
                <c:pt idx="0">
                  <c:v>Female</c:v>
                </c:pt>
                <c:pt idx="1">
                  <c:v>Male</c:v>
                </c:pt>
              </c:strCache>
            </c:strRef>
          </c:cat>
          <c:val>
            <c:numRef>
              <c:f>OtherPractices1!$F$4:$F$6</c:f>
              <c:numCache>
                <c:formatCode>General</c:formatCode>
                <c:ptCount val="2"/>
                <c:pt idx="0">
                  <c:v>7</c:v>
                </c:pt>
                <c:pt idx="1">
                  <c:v>6</c:v>
                </c:pt>
              </c:numCache>
            </c:numRef>
          </c:val>
          <c:extLst>
            <c:ext xmlns:c16="http://schemas.microsoft.com/office/drawing/2014/chart" uri="{C3380CC4-5D6E-409C-BE32-E72D297353CC}">
              <c16:uniqueId val="{00000004-8802-4B48-ACFC-20859FB3F220}"/>
            </c:ext>
          </c:extLst>
        </c:ser>
        <c:dLbls>
          <c:dLblPos val="outEnd"/>
          <c:showLegendKey val="0"/>
          <c:showVal val="1"/>
          <c:showCatName val="0"/>
          <c:showSerName val="0"/>
          <c:showPercent val="0"/>
          <c:showBubbleSize val="0"/>
        </c:dLbls>
        <c:gapWidth val="219"/>
        <c:overlap val="-27"/>
        <c:axId val="470056768"/>
        <c:axId val="470063008"/>
      </c:barChart>
      <c:catAx>
        <c:axId val="470056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&amp; Practices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63008"/>
        <c:crosses val="autoZero"/>
        <c:auto val="1"/>
        <c:lblAlgn val="ctr"/>
        <c:lblOffset val="100"/>
        <c:noMultiLvlLbl val="0"/>
      </c:catAx>
      <c:valAx>
        <c:axId val="47006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5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[Tree_Species_Assesement.xlsx]Seedling Source!PivotTable17</c:name>
    <c:fmtId val="1"/>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Sources Of Seedlings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'Seedling Source'!$A$3</c:f>
              <c:strCache>
                <c:ptCount val="1"/>
                <c:pt idx="0">
                  <c:v>-KEFRI</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'Seedling Source'!$A$4</c:f>
              <c:strCache>
                <c:ptCount val="1"/>
                <c:pt idx="0">
                  <c:v>Total</c:v>
                </c:pt>
              </c:strCache>
            </c:strRef>
          </c:cat>
          <c:val>
            <c:numRef>
              <c:f>'Seedling Source'!$A$4</c:f>
              <c:numCache>
                <c:formatCode>General</c:formatCode>
                <c:ptCount val="1"/>
                <c:pt idx="0">
                  <c:v>68</c:v>
                </c:pt>
              </c:numCache>
            </c:numRef>
          </c:val>
          <c:extLst>
            <c:ext xmlns:c16="http://schemas.microsoft.com/office/drawing/2014/chart" uri="{C3380CC4-5D6E-409C-BE32-E72D297353CC}">
              <c16:uniqueId val="{00000000-876D-4016-996D-BCBB24A0ADEE}"/>
            </c:ext>
          </c:extLst>
        </c:ser>
        <c:ser>
          <c:idx val="1"/>
          <c:order val="1"/>
          <c:tx>
            <c:strRef>
              <c:f>'Seedling Source'!$B$3</c:f>
              <c:strCache>
                <c:ptCount val="1"/>
                <c:pt idx="0">
                  <c:v>-Others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'Seedling Source'!$A$4</c:f>
              <c:strCache>
                <c:ptCount val="1"/>
                <c:pt idx="0">
                  <c:v>Total</c:v>
                </c:pt>
              </c:strCache>
            </c:strRef>
          </c:cat>
          <c:val>
            <c:numRef>
              <c:f>'Seedling Source'!$B$4</c:f>
              <c:numCache>
                <c:formatCode>General</c:formatCode>
                <c:ptCount val="1"/>
                <c:pt idx="0">
                  <c:v>1</c:v>
                </c:pt>
              </c:numCache>
            </c:numRef>
          </c:val>
          <c:extLst>
            <c:ext xmlns:c16="http://schemas.microsoft.com/office/drawing/2014/chart" uri="{C3380CC4-5D6E-409C-BE32-E72D297353CC}">
              <c16:uniqueId val="{00000001-876D-4016-996D-BCBB24A0ADEE}"/>
            </c:ext>
          </c:extLst>
        </c:ser>
        <c:ser>
          <c:idx val="2"/>
          <c:order val="2"/>
          <c:tx>
            <c:strRef>
              <c:f>'Seedling Source'!$C$3</c:f>
              <c:strCache>
                <c:ptCount val="1"/>
                <c:pt idx="0">
                  <c:v>-Self-raised</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'Seedling Source'!$A$4</c:f>
              <c:strCache>
                <c:ptCount val="1"/>
                <c:pt idx="0">
                  <c:v>Total</c:v>
                </c:pt>
              </c:strCache>
            </c:strRef>
          </c:cat>
          <c:val>
            <c:numRef>
              <c:f>'Seedling Source'!$C$4</c:f>
              <c:numCache>
                <c:formatCode>General</c:formatCode>
                <c:ptCount val="1"/>
                <c:pt idx="0">
                  <c:v>15</c:v>
                </c:pt>
              </c:numCache>
            </c:numRef>
          </c:val>
          <c:extLst>
            <c:ext xmlns:c16="http://schemas.microsoft.com/office/drawing/2014/chart" uri="{C3380CC4-5D6E-409C-BE32-E72D297353CC}">
              <c16:uniqueId val="{00000002-876D-4016-996D-BCBB24A0ADEE}"/>
            </c:ext>
          </c:extLst>
        </c:ser>
        <c:ser>
          <c:idx val="3"/>
          <c:order val="3"/>
          <c:tx>
            <c:strRef>
              <c:f>'Seedling Source'!$D$3</c:f>
              <c:strCache>
                <c:ptCount val="1"/>
                <c:pt idx="0">
                  <c:v>-NGO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'Seedling Source'!$A$4</c:f>
              <c:strCache>
                <c:ptCount val="1"/>
                <c:pt idx="0">
                  <c:v>Total</c:v>
                </c:pt>
              </c:strCache>
            </c:strRef>
          </c:cat>
          <c:val>
            <c:numRef>
              <c:f>'Seedling Source'!$D$4</c:f>
              <c:numCache>
                <c:formatCode>General</c:formatCode>
                <c:ptCount val="1"/>
                <c:pt idx="0">
                  <c:v>2</c:v>
                </c:pt>
              </c:numCache>
            </c:numRef>
          </c:val>
          <c:extLst>
            <c:ext xmlns:c16="http://schemas.microsoft.com/office/drawing/2014/chart" uri="{C3380CC4-5D6E-409C-BE32-E72D297353CC}">
              <c16:uniqueId val="{00000003-876D-4016-996D-BCBB24A0ADEE}"/>
            </c:ext>
          </c:extLst>
        </c:ser>
        <c:ser>
          <c:idx val="4"/>
          <c:order val="4"/>
          <c:tx>
            <c:strRef>
              <c:f>'Seedling Source'!$E$3</c:f>
              <c:strCache>
                <c:ptCount val="1"/>
                <c:pt idx="0">
                  <c:v>-Local nursery</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'Seedling Source'!$A$4</c:f>
              <c:strCache>
                <c:ptCount val="1"/>
                <c:pt idx="0">
                  <c:v>Total</c:v>
                </c:pt>
              </c:strCache>
            </c:strRef>
          </c:cat>
          <c:val>
            <c:numRef>
              <c:f>'Seedling Source'!$E$4</c:f>
              <c:numCache>
                <c:formatCode>General</c:formatCode>
                <c:ptCount val="1"/>
                <c:pt idx="0">
                  <c:v>60</c:v>
                </c:pt>
              </c:numCache>
            </c:numRef>
          </c:val>
          <c:extLst>
            <c:ext xmlns:c16="http://schemas.microsoft.com/office/drawing/2014/chart" uri="{C3380CC4-5D6E-409C-BE32-E72D297353CC}">
              <c16:uniqueId val="{00000004-876D-4016-996D-BCBB24A0ADEE}"/>
            </c:ext>
          </c:extLst>
        </c:ser>
        <c:dLbls>
          <c:dLblPos val="outEnd"/>
          <c:showLegendKey val="0"/>
          <c:showVal val="1"/>
          <c:showCatName val="0"/>
          <c:showSerName val="0"/>
          <c:showPercent val="0"/>
          <c:showBubbleSize val="0"/>
        </c:dLbls>
        <c:gapWidth val="219"/>
        <c:overlap val="-27"/>
        <c:axId val="1218436672"/>
        <c:axId val="1218438112"/>
      </c:barChart>
      <c:catAx>
        <c:axId val="1218436672"/>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Sources</a:t>
                </a:r>
              </a:p>
            </c:rich>
          </c:tx>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18438112"/>
        <c:crosses val="autoZero"/>
        <c:auto val="1"/>
        <c:lblAlgn val="ctr"/>
        <c:lblOffset val="100"/>
        <c:noMultiLvlLbl val="0"/>
      </c:catAx>
      <c:valAx>
        <c:axId val="1218438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1843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[Tree_Species_Assesement.xlsx]Source1!PivotTable18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Vs Seedling Sources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Source1!$B$3</c:f>
              <c:strCache>
                <c:ptCount val="1"/>
                <c:pt idx="0">
                  <c:v>.KEFRI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Source1!$A$4:$A$6</c:f>
              <c:strCache>
                <c:ptCount val="2"/>
                <c:pt idx="0">
                  <c:v>Female</c:v>
                </c:pt>
                <c:pt idx="1">
                  <c:v>Male</c:v>
                </c:pt>
              </c:strCache>
            </c:strRef>
          </c:cat>
          <c:val>
            <c:numRef>
              <c:f>Source1!$B$4:$B$6</c:f>
              <c:numCache>
                <c:formatCode>General</c:formatCode>
                <c:ptCount val="2"/>
                <c:pt idx="0">
                  <c:v>34</c:v>
                </c:pt>
                <c:pt idx="1">
                  <c:v>34</c:v>
                </c:pt>
              </c:numCache>
            </c:numRef>
          </c:val>
          <c:extLst>
            <c:ext xmlns:c16="http://schemas.microsoft.com/office/drawing/2014/chart" uri="{C3380CC4-5D6E-409C-BE32-E72D297353CC}">
              <c16:uniqueId val="{00000000-E996-4B7A-AB47-1D016A655D2B}"/>
            </c:ext>
          </c:extLst>
        </c:ser>
        <c:ser>
          <c:idx val="1"/>
          <c:order val="1"/>
          <c:tx>
            <c:strRef>
              <c:f>Source1!$C$3</c:f>
              <c:strCache>
                <c:ptCount val="1"/>
                <c:pt idx="0">
                  <c:v>.Local nursery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Source1!$A$4:$A$6</c:f>
              <c:strCache>
                <c:ptCount val="2"/>
                <c:pt idx="0">
                  <c:v>Female</c:v>
                </c:pt>
                <c:pt idx="1">
                  <c:v>Male</c:v>
                </c:pt>
              </c:strCache>
            </c:strRef>
          </c:cat>
          <c:val>
            <c:numRef>
              <c:f>Source1!$C$4:$C$6</c:f>
              <c:numCache>
                <c:formatCode>General</c:formatCode>
                <c:ptCount val="2"/>
                <c:pt idx="0">
                  <c:v>29</c:v>
                </c:pt>
                <c:pt idx="1">
                  <c:v>31</c:v>
                </c:pt>
              </c:numCache>
            </c:numRef>
          </c:val>
          <c:extLst>
            <c:ext xmlns:c16="http://schemas.microsoft.com/office/drawing/2014/chart" uri="{C3380CC4-5D6E-409C-BE32-E72D297353CC}">
              <c16:uniqueId val="{00000001-E996-4B7A-AB47-1D016A655D2B}"/>
            </c:ext>
          </c:extLst>
        </c:ser>
        <c:ser>
          <c:idx val="2"/>
          <c:order val="2"/>
          <c:tx>
            <c:strRef>
              <c:f>Source1!$D$3</c:f>
              <c:strCache>
                <c:ptCount val="1"/>
                <c:pt idx="0">
                  <c:v>.NGO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Source1!$A$4:$A$6</c:f>
              <c:strCache>
                <c:ptCount val="2"/>
                <c:pt idx="0">
                  <c:v>Female</c:v>
                </c:pt>
                <c:pt idx="1">
                  <c:v>Male</c:v>
                </c:pt>
              </c:strCache>
            </c:strRef>
          </c:cat>
          <c:val>
            <c:numRef>
              <c:f>Source1!$D$4:$D$6</c:f>
              <c:numCache>
                <c:formatCode>General</c:formatCode>
                <c:ptCount val="2"/>
                <c:pt idx="0">
                  <c:v>1</c:v>
                </c:pt>
                <c:pt idx="1">
                  <c:v>1</c:v>
                </c:pt>
              </c:numCache>
            </c:numRef>
          </c:val>
          <c:extLst>
            <c:ext xmlns:c16="http://schemas.microsoft.com/office/drawing/2014/chart" uri="{C3380CC4-5D6E-409C-BE32-E72D297353CC}">
              <c16:uniqueId val="{00000002-E996-4B7A-AB47-1D016A655D2B}"/>
            </c:ext>
          </c:extLst>
        </c:ser>
        <c:ser>
          <c:idx val="3"/>
          <c:order val="3"/>
          <c:tx>
            <c:strRef>
              <c:f>Source1!$E$3</c:f>
              <c:strCache>
                <c:ptCount val="1"/>
                <c:pt idx="0">
                  <c:v>.Others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Source1!$A$4:$A$6</c:f>
              <c:strCache>
                <c:ptCount val="2"/>
                <c:pt idx="0">
                  <c:v>Female</c:v>
                </c:pt>
                <c:pt idx="1">
                  <c:v>Male</c:v>
                </c:pt>
              </c:strCache>
            </c:strRef>
          </c:cat>
          <c:val>
            <c:numRef>
              <c:f>Source1!$E$4:$E$6</c:f>
              <c:numCache>
                <c:formatCode>General</c:formatCode>
                <c:ptCount val="2"/>
                <c:pt idx="0">
                  <c:v>0</c:v>
                </c:pt>
                <c:pt idx="1">
                  <c:v>1</c:v>
                </c:pt>
              </c:numCache>
            </c:numRef>
          </c:val>
          <c:extLst>
            <c:ext xmlns:c16="http://schemas.microsoft.com/office/drawing/2014/chart" uri="{C3380CC4-5D6E-409C-BE32-E72D297353CC}">
              <c16:uniqueId val="{00000003-E996-4B7A-AB47-1D016A655D2B}"/>
            </c:ext>
          </c:extLst>
        </c:ser>
        <c:ser>
          <c:idx val="4"/>
          <c:order val="4"/>
          <c:tx>
            <c:strRef>
              <c:f>Source1!$F$3</c:f>
              <c:strCache>
                <c:ptCount val="1"/>
                <c:pt idx="0">
                  <c:v>.Self-raised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Source1!$A$4:$A$6</c:f>
              <c:strCache>
                <c:ptCount val="2"/>
                <c:pt idx="0">
                  <c:v>Female</c:v>
                </c:pt>
                <c:pt idx="1">
                  <c:v>Male</c:v>
                </c:pt>
              </c:strCache>
            </c:strRef>
          </c:cat>
          <c:val>
            <c:numRef>
              <c:f>Source1!$F$4:$F$6</c:f>
              <c:numCache>
                <c:formatCode>General</c:formatCode>
                <c:ptCount val="2"/>
                <c:pt idx="0">
                  <c:v>7</c:v>
                </c:pt>
                <c:pt idx="1">
                  <c:v>8</c:v>
                </c:pt>
              </c:numCache>
            </c:numRef>
          </c:val>
          <c:extLst>
            <c:ext xmlns:c16="http://schemas.microsoft.com/office/drawing/2014/chart" uri="{C3380CC4-5D6E-409C-BE32-E72D297353CC}">
              <c16:uniqueId val="{00000004-E996-4B7A-AB47-1D016A655D2B}"/>
            </c:ext>
          </c:extLst>
        </c:ser>
        <c:dLbls>
          <c:dLblPos val="outEnd"/>
          <c:showLegendKey val="0"/>
          <c:showVal val="1"/>
          <c:showCatName val="0"/>
          <c:showSerName val="0"/>
          <c:showPercent val="0"/>
          <c:showBubbleSize val="0"/>
        </c:dLbls>
        <c:gapWidth val="219"/>
        <c:overlap val="-27"/>
        <c:axId val="1823401216"/>
        <c:axId val="1823391616"/>
      </c:barChart>
      <c:catAx>
        <c:axId val="182340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&amp; Source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391616"/>
        <c:crosses val="autoZero"/>
        <c:auto val="1"/>
        <c:lblAlgn val="ctr"/>
        <c:lblOffset val="100"/>
        <c:noMultiLvlLbl val="0"/>
      </c:catAx>
      <c:valAx>
        <c:axId val="1823391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0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[Tree_Species_Assesement.xlsx]Source2!PivotTable19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Vs Seedlings Sources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Source2!$B$3</c:f>
              <c:strCache>
                <c:ptCount val="1"/>
                <c:pt idx="0">
                  <c:v>~KEFRI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Source2!$A$4:$A$7</c:f>
              <c:strCache>
                <c:ptCount val="3"/>
                <c:pt idx="0">
                  <c:v>Primary </c:v>
                </c:pt>
                <c:pt idx="1">
                  <c:v>Secondary </c:v>
                </c:pt>
                <c:pt idx="2">
                  <c:v>Tertiary</c:v>
                </c:pt>
              </c:strCache>
            </c:strRef>
          </c:cat>
          <c:val>
            <c:numRef>
              <c:f>Source2!$B$4:$B$7</c:f>
              <c:numCache>
                <c:formatCode>General</c:formatCode>
                <c:ptCount val="3"/>
                <c:pt idx="0">
                  <c:v>19</c:v>
                </c:pt>
                <c:pt idx="1">
                  <c:v>13</c:v>
                </c:pt>
                <c:pt idx="2">
                  <c:v>36</c:v>
                </c:pt>
              </c:numCache>
            </c:numRef>
          </c:val>
          <c:extLst>
            <c:ext xmlns:c16="http://schemas.microsoft.com/office/drawing/2014/chart" uri="{C3380CC4-5D6E-409C-BE32-E72D297353CC}">
              <c16:uniqueId val="{00000000-4BF6-4C0D-9DC4-7C9ED6F5CB5C}"/>
            </c:ext>
          </c:extLst>
        </c:ser>
        <c:ser>
          <c:idx val="1"/>
          <c:order val="1"/>
          <c:tx>
            <c:strRef>
              <c:f>Source2!$C$3</c:f>
              <c:strCache>
                <c:ptCount val="1"/>
                <c:pt idx="0">
                  <c:v>~Self-raised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Source2!$A$4:$A$7</c:f>
              <c:strCache>
                <c:ptCount val="3"/>
                <c:pt idx="0">
                  <c:v>Primary </c:v>
                </c:pt>
                <c:pt idx="1">
                  <c:v>Secondary </c:v>
                </c:pt>
                <c:pt idx="2">
                  <c:v>Tertiary</c:v>
                </c:pt>
              </c:strCache>
            </c:strRef>
          </c:cat>
          <c:val>
            <c:numRef>
              <c:f>Source2!$C$4:$C$7</c:f>
              <c:numCache>
                <c:formatCode>General</c:formatCode>
                <c:ptCount val="3"/>
                <c:pt idx="0">
                  <c:v>3</c:v>
                </c:pt>
                <c:pt idx="1">
                  <c:v>2</c:v>
                </c:pt>
                <c:pt idx="2">
                  <c:v>10</c:v>
                </c:pt>
              </c:numCache>
            </c:numRef>
          </c:val>
          <c:extLst>
            <c:ext xmlns:c16="http://schemas.microsoft.com/office/drawing/2014/chart" uri="{C3380CC4-5D6E-409C-BE32-E72D297353CC}">
              <c16:uniqueId val="{00000001-4BF6-4C0D-9DC4-7C9ED6F5CB5C}"/>
            </c:ext>
          </c:extLst>
        </c:ser>
        <c:ser>
          <c:idx val="2"/>
          <c:order val="2"/>
          <c:tx>
            <c:strRef>
              <c:f>Source2!$D$3</c:f>
              <c:strCache>
                <c:ptCount val="1"/>
                <c:pt idx="0">
                  <c:v>~NGO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Source2!$A$4:$A$7</c:f>
              <c:strCache>
                <c:ptCount val="3"/>
                <c:pt idx="0">
                  <c:v>Primary </c:v>
                </c:pt>
                <c:pt idx="1">
                  <c:v>Secondary </c:v>
                </c:pt>
                <c:pt idx="2">
                  <c:v>Tertiary</c:v>
                </c:pt>
              </c:strCache>
            </c:strRef>
          </c:cat>
          <c:val>
            <c:numRef>
              <c:f>Source2!$D$4:$D$7</c:f>
              <c:numCache>
                <c:formatCode>General</c:formatCode>
                <c:ptCount val="3"/>
                <c:pt idx="0">
                  <c:v>0</c:v>
                </c:pt>
                <c:pt idx="1">
                  <c:v>1</c:v>
                </c:pt>
                <c:pt idx="2">
                  <c:v>1</c:v>
                </c:pt>
              </c:numCache>
            </c:numRef>
          </c:val>
          <c:extLst>
            <c:ext xmlns:c16="http://schemas.microsoft.com/office/drawing/2014/chart" uri="{C3380CC4-5D6E-409C-BE32-E72D297353CC}">
              <c16:uniqueId val="{00000002-4BF6-4C0D-9DC4-7C9ED6F5CB5C}"/>
            </c:ext>
          </c:extLst>
        </c:ser>
        <c:ser>
          <c:idx val="3"/>
          <c:order val="3"/>
          <c:tx>
            <c:strRef>
              <c:f>Source2!$E$3</c:f>
              <c:strCache>
                <c:ptCount val="1"/>
                <c:pt idx="0">
                  <c:v>~Local nursery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Source2!$A$4:$A$7</c:f>
              <c:strCache>
                <c:ptCount val="3"/>
                <c:pt idx="0">
                  <c:v>Primary </c:v>
                </c:pt>
                <c:pt idx="1">
                  <c:v>Secondary </c:v>
                </c:pt>
                <c:pt idx="2">
                  <c:v>Tertiary</c:v>
                </c:pt>
              </c:strCache>
            </c:strRef>
          </c:cat>
          <c:val>
            <c:numRef>
              <c:f>Source2!$E$4:$E$7</c:f>
              <c:numCache>
                <c:formatCode>General</c:formatCode>
                <c:ptCount val="3"/>
                <c:pt idx="0">
                  <c:v>17</c:v>
                </c:pt>
                <c:pt idx="1">
                  <c:v>11</c:v>
                </c:pt>
                <c:pt idx="2">
                  <c:v>32</c:v>
                </c:pt>
              </c:numCache>
            </c:numRef>
          </c:val>
          <c:extLst>
            <c:ext xmlns:c16="http://schemas.microsoft.com/office/drawing/2014/chart" uri="{C3380CC4-5D6E-409C-BE32-E72D297353CC}">
              <c16:uniqueId val="{00000003-4BF6-4C0D-9DC4-7C9ED6F5CB5C}"/>
            </c:ext>
          </c:extLst>
        </c:ser>
        <c:ser>
          <c:idx val="4"/>
          <c:order val="4"/>
          <c:tx>
            <c:strRef>
              <c:f>Source2!$F$3</c:f>
              <c:strCache>
                <c:ptCount val="1"/>
                <c:pt idx="0">
                  <c:v>Sum of Other3</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Source2!$A$4:$A$7</c:f>
              <c:strCache>
                <c:ptCount val="3"/>
                <c:pt idx="0">
                  <c:v>Primary </c:v>
                </c:pt>
                <c:pt idx="1">
                  <c:v>Secondary </c:v>
                </c:pt>
                <c:pt idx="2">
                  <c:v>Tertiary</c:v>
                </c:pt>
              </c:strCache>
            </c:strRef>
          </c:cat>
          <c:val>
            <c:numRef>
              <c:f>Source2!$F$4:$F$7</c:f>
              <c:numCache>
                <c:formatCode>General</c:formatCode>
                <c:ptCount val="3"/>
                <c:pt idx="0">
                  <c:v>0</c:v>
                </c:pt>
                <c:pt idx="1">
                  <c:v>0</c:v>
                </c:pt>
                <c:pt idx="2">
                  <c:v>1</c:v>
                </c:pt>
              </c:numCache>
            </c:numRef>
          </c:val>
          <c:extLst>
            <c:ext xmlns:c16="http://schemas.microsoft.com/office/drawing/2014/chart" uri="{C3380CC4-5D6E-409C-BE32-E72D297353CC}">
              <c16:uniqueId val="{00000007-4BF6-4C0D-9DC4-7C9ED6F5CB5C}"/>
            </c:ext>
          </c:extLst>
        </c:ser>
        <c:dLbls>
          <c:dLblPos val="outEnd"/>
          <c:showLegendKey val="0"/>
          <c:showVal val="1"/>
          <c:showCatName val="0"/>
          <c:showSerName val="0"/>
          <c:showPercent val="0"/>
          <c:showBubbleSize val="0"/>
        </c:dLbls>
        <c:gapWidth val="219"/>
        <c:overlap val="-27"/>
        <c:axId val="1823413216"/>
        <c:axId val="1823400256"/>
      </c:barChart>
      <c:catAx>
        <c:axId val="1823413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Level Of 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00256"/>
        <c:crosses val="autoZero"/>
        <c:auto val="1"/>
        <c:lblAlgn val="ctr"/>
        <c:lblOffset val="100"/>
        <c:noMultiLvlLbl val="0"/>
      </c:catAx>
      <c:valAx>
        <c:axId val="1823400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1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[Tree_Species_Assesement.xlsx]Source3!PivotTable20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Farmers Vs Seeling Sources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Source3!$B$3</c:f>
              <c:strCache>
                <c:ptCount val="1"/>
                <c:pt idx="0">
                  <c:v>_KEFRI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Source3!$A$4:$A$5</c:f>
              <c:strCache>
                <c:ptCount val="1"/>
                <c:pt idx="0">
                  <c:v>Farmer</c:v>
                </c:pt>
              </c:strCache>
            </c:strRef>
          </c:cat>
          <c:val>
            <c:numRef>
              <c:f>Source3!$B$4:$B$5</c:f>
              <c:numCache>
                <c:formatCode>General</c:formatCode>
                <c:ptCount val="1"/>
                <c:pt idx="0">
                  <c:v>42</c:v>
                </c:pt>
              </c:numCache>
            </c:numRef>
          </c:val>
          <c:extLst>
            <c:ext xmlns:c16="http://schemas.microsoft.com/office/drawing/2014/chart" uri="{C3380CC4-5D6E-409C-BE32-E72D297353CC}">
              <c16:uniqueId val="{00000000-8BA6-42E6-91CD-F16E8A56DF3E}"/>
            </c:ext>
          </c:extLst>
        </c:ser>
        <c:ser>
          <c:idx val="1"/>
          <c:order val="1"/>
          <c:tx>
            <c:strRef>
              <c:f>Source3!$C$3</c:f>
              <c:strCache>
                <c:ptCount val="1"/>
                <c:pt idx="0">
                  <c:v>_NGO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Source3!$A$4:$A$5</c:f>
              <c:strCache>
                <c:ptCount val="1"/>
                <c:pt idx="0">
                  <c:v>Farmer</c:v>
                </c:pt>
              </c:strCache>
            </c:strRef>
          </c:cat>
          <c:val>
            <c:numRef>
              <c:f>Source3!$C$4:$C$5</c:f>
              <c:numCache>
                <c:formatCode>General</c:formatCode>
                <c:ptCount val="1"/>
                <c:pt idx="0">
                  <c:v>2</c:v>
                </c:pt>
              </c:numCache>
            </c:numRef>
          </c:val>
          <c:extLst>
            <c:ext xmlns:c16="http://schemas.microsoft.com/office/drawing/2014/chart" uri="{C3380CC4-5D6E-409C-BE32-E72D297353CC}">
              <c16:uniqueId val="{00000001-8BA6-42E6-91CD-F16E8A56DF3E}"/>
            </c:ext>
          </c:extLst>
        </c:ser>
        <c:ser>
          <c:idx val="2"/>
          <c:order val="2"/>
          <c:tx>
            <c:strRef>
              <c:f>Source3!$D$3</c:f>
              <c:strCache>
                <c:ptCount val="1"/>
                <c:pt idx="0">
                  <c:v>_Local nursery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Source3!$A$4:$A$5</c:f>
              <c:strCache>
                <c:ptCount val="1"/>
                <c:pt idx="0">
                  <c:v>Farmer</c:v>
                </c:pt>
              </c:strCache>
            </c:strRef>
          </c:cat>
          <c:val>
            <c:numRef>
              <c:f>Source3!$D$4:$D$5</c:f>
              <c:numCache>
                <c:formatCode>General</c:formatCode>
                <c:ptCount val="1"/>
                <c:pt idx="0">
                  <c:v>38</c:v>
                </c:pt>
              </c:numCache>
            </c:numRef>
          </c:val>
          <c:extLst>
            <c:ext xmlns:c16="http://schemas.microsoft.com/office/drawing/2014/chart" uri="{C3380CC4-5D6E-409C-BE32-E72D297353CC}">
              <c16:uniqueId val="{00000002-8BA6-42E6-91CD-F16E8A56DF3E}"/>
            </c:ext>
          </c:extLst>
        </c:ser>
        <c:ser>
          <c:idx val="3"/>
          <c:order val="3"/>
          <c:tx>
            <c:strRef>
              <c:f>Source3!$E$3</c:f>
              <c:strCache>
                <c:ptCount val="1"/>
                <c:pt idx="0">
                  <c:v>_Self-raised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Source3!$A$4:$A$5</c:f>
              <c:strCache>
                <c:ptCount val="1"/>
                <c:pt idx="0">
                  <c:v>Farmer</c:v>
                </c:pt>
              </c:strCache>
            </c:strRef>
          </c:cat>
          <c:val>
            <c:numRef>
              <c:f>Source3!$E$4:$E$5</c:f>
              <c:numCache>
                <c:formatCode>General</c:formatCode>
                <c:ptCount val="1"/>
                <c:pt idx="0">
                  <c:v>10</c:v>
                </c:pt>
              </c:numCache>
            </c:numRef>
          </c:val>
          <c:extLst>
            <c:ext xmlns:c16="http://schemas.microsoft.com/office/drawing/2014/chart" uri="{C3380CC4-5D6E-409C-BE32-E72D297353CC}">
              <c16:uniqueId val="{00000003-8BA6-42E6-91CD-F16E8A56DF3E}"/>
            </c:ext>
          </c:extLst>
        </c:ser>
        <c:dLbls>
          <c:dLblPos val="outEnd"/>
          <c:showLegendKey val="0"/>
          <c:showVal val="1"/>
          <c:showCatName val="0"/>
          <c:showSerName val="0"/>
          <c:showPercent val="0"/>
          <c:showBubbleSize val="0"/>
        </c:dLbls>
        <c:gapWidth val="219"/>
        <c:overlap val="-27"/>
        <c:axId val="529359264"/>
        <c:axId val="529360224"/>
      </c:barChart>
      <c:catAx>
        <c:axId val="52935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Sources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60224"/>
        <c:crosses val="autoZero"/>
        <c:auto val="1"/>
        <c:lblAlgn val="ctr"/>
        <c:lblOffset val="100"/>
        <c:noMultiLvlLbl val="0"/>
      </c:catAx>
      <c:valAx>
        <c:axId val="52936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5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Top-Ten Preffered species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'Seed species'!$B$1</c:f>
              <c:strCache>
                <c:ptCount val="1"/>
                <c:pt idx="0">
                  <c:v>Selection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'Seed species'!$A$2:$A$30</c:f>
              <c:strCache>
                <c:ptCount val="10"/>
                <c:pt idx="0">
                  <c:v>Mango</c:v>
                </c:pt>
                <c:pt idx="1">
                  <c:v>Neem (Azadirachta indica)</c:v>
                </c:pt>
                <c:pt idx="2">
                  <c:v>Melia Volkensii</c:v>
                </c:pt>
                <c:pt idx="3">
                  <c:v>Senna siamea </c:v>
                </c:pt>
                <c:pt idx="4">
                  <c:v>Tamarindus indica (Tamarind)</c:v>
                </c:pt>
                <c:pt idx="5">
                  <c:v>Passion fruit</c:v>
                </c:pt>
                <c:pt idx="6">
                  <c:v>Terminalia brownii</c:v>
                </c:pt>
                <c:pt idx="7">
                  <c:v>Moringa oleifera</c:v>
                </c:pt>
                <c:pt idx="8">
                  <c:v>Dalbergia melanoxylon</c:v>
                </c:pt>
                <c:pt idx="9">
                  <c:v>Lemon tree</c:v>
                </c:pt>
              </c:strCache>
            </c:strRef>
          </c:cat>
          <c:val>
            <c:numRef>
              <c:f>'Seed species'!$B$2:$B$30</c:f>
              <c:numCache>
                <c:formatCode>General</c:formatCode>
                <c:ptCount val="10"/>
                <c:pt idx="0">
                  <c:v>68</c:v>
                </c:pt>
                <c:pt idx="1">
                  <c:v>67</c:v>
                </c:pt>
                <c:pt idx="2">
                  <c:v>65</c:v>
                </c:pt>
                <c:pt idx="3">
                  <c:v>59</c:v>
                </c:pt>
                <c:pt idx="4">
                  <c:v>58</c:v>
                </c:pt>
                <c:pt idx="5">
                  <c:v>51</c:v>
                </c:pt>
                <c:pt idx="6">
                  <c:v>49</c:v>
                </c:pt>
                <c:pt idx="7">
                  <c:v>46</c:v>
                </c:pt>
                <c:pt idx="8">
                  <c:v>45</c:v>
                </c:pt>
                <c:pt idx="9">
                  <c:v>39</c:v>
                </c:pt>
              </c:numCache>
            </c:numRef>
          </c:val>
          <c:extLst>
            <c:ext xmlns:c16="http://schemas.microsoft.com/office/drawing/2014/chart" uri="{C3380CC4-5D6E-409C-BE32-E72D297353CC}">
              <c16:uniqueId val="{00000000-E229-4AC1-B89B-D944D7A4AAF9}"/>
            </c:ext>
          </c:extLst>
        </c:ser>
        <c:dLbls>
          <c:dLblPos val="outEnd"/>
          <c:showLegendKey val="0"/>
          <c:showVal val="1"/>
          <c:showCatName val="0"/>
          <c:showSerName val="0"/>
          <c:showPercent val="0"/>
          <c:showBubbleSize val="0"/>
        </c:dLbls>
        <c:gapWidth val="219"/>
        <c:overlap val="-27"/>
        <c:axId val="1655247664"/>
        <c:axId val="1655233264"/>
      </c:barChart>
      <c:catAx>
        <c:axId val="1655247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Tree Species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233264"/>
        <c:crosses val="autoZero"/>
        <c:auto val="1"/>
        <c:lblAlgn val="ctr"/>
        <c:lblOffset val="100"/>
        <c:noMultiLvlLbl val="0"/>
      </c:catAx>
      <c:valAx>
        <c:axId val="1655233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24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[Tree_Species_Assesement.xlsx]Purpose!PivotTable3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Purpose of Tree Planting</a:t>
            </a:r>
          </a:p>
        </c:rich>
      </c:tx>
      <c:layout>
        <c:manualLayout>
          <c:xMode val="edge"/>
          <c:yMode val="edge"/>
          <c:x val="0.20666967454651866"/>
          <c:y val="9.68065236207917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Purpose!$B$3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Purpose!$A$4:$A$11</c:f>
              <c:strCache>
                <c:ptCount val="8"/>
                <c:pt idx="0">
                  <c:v>Sum of Shade</c:v>
                </c:pt>
                <c:pt idx="1">
                  <c:v>Sum of Timber</c:v>
                </c:pt>
                <c:pt idx="2">
                  <c:v>Sum of Fruits</c:v>
                </c:pt>
                <c:pt idx="3">
                  <c:v>Sum of Environmental reasons (erosion control, windbreak, etc)</c:v>
                </c:pt>
                <c:pt idx="4">
                  <c:v>Sum of Fuelwood</c:v>
                </c:pt>
                <c:pt idx="5">
                  <c:v>Sum of Income generation</c:v>
                </c:pt>
                <c:pt idx="6">
                  <c:v>Sum of Fodder</c:v>
                </c:pt>
                <c:pt idx="7">
                  <c:v>Sum of Boundary marking</c:v>
                </c:pt>
              </c:strCache>
            </c:strRef>
          </c:cat>
          <c:val>
            <c:numRef>
              <c:f>Purpose!$B$4:$B$11</c:f>
              <c:numCache>
                <c:formatCode>General</c:formatCode>
                <c:ptCount val="8"/>
                <c:pt idx="0">
                  <c:v>69</c:v>
                </c:pt>
                <c:pt idx="1">
                  <c:v>68</c:v>
                </c:pt>
                <c:pt idx="2">
                  <c:v>68</c:v>
                </c:pt>
                <c:pt idx="3">
                  <c:v>68</c:v>
                </c:pt>
                <c:pt idx="4">
                  <c:v>66</c:v>
                </c:pt>
                <c:pt idx="5">
                  <c:v>64</c:v>
                </c:pt>
                <c:pt idx="6">
                  <c:v>61</c:v>
                </c:pt>
                <c:pt idx="7">
                  <c:v>58</c:v>
                </c:pt>
              </c:numCache>
            </c:numRef>
          </c:val>
          <c:extLst>
            <c:ext xmlns:c16="http://schemas.microsoft.com/office/drawing/2014/chart" uri="{C3380CC4-5D6E-409C-BE32-E72D297353CC}">
              <c16:uniqueId val="{00000009-9732-468D-9252-B137722561DF}"/>
            </c:ext>
          </c:extLst>
        </c:ser>
        <c:dLbls>
          <c:dLblPos val="outEnd"/>
          <c:showLegendKey val="0"/>
          <c:showVal val="1"/>
          <c:showCatName val="0"/>
          <c:showSerName val="0"/>
          <c:showPercent val="0"/>
          <c:showBubbleSize val="0"/>
        </c:dLbls>
        <c:gapWidth val="219"/>
        <c:overlap val="-27"/>
        <c:axId val="566284479"/>
        <c:axId val="566284959"/>
      </c:barChart>
      <c:catAx>
        <c:axId val="566284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Purpose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284959"/>
        <c:crosses val="autoZero"/>
        <c:auto val="1"/>
        <c:lblAlgn val="ctr"/>
        <c:lblOffset val="100"/>
        <c:noMultiLvlLbl val="0"/>
      </c:catAx>
      <c:valAx>
        <c:axId val="566284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284479"/>
        <c:crosses val="autoZero"/>
        <c:crossBetween val="between"/>
      </c:valAx>
      <c:spPr>
        <a:noFill/>
        <a:ln>
          <a:noFill/>
        </a:ln>
        <a:effectLst/>
      </c:spPr>
    </c:plotArea>
    <c:legend>
      <c:legendPos val="r"/>
      <c:layout>
        <c:manualLayout>
          <c:xMode val="edge"/>
          <c:yMode val="edge"/>
          <c:x val="0.86059404923378402"/>
          <c:y val="0.63904404294830797"/>
          <c:w val="0.12261646970660146"/>
          <c:h val="0.193284429798029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[Tree_Species_Assesement.xlsx]Distribution!PivotTable4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Seedling</a:t>
            </a:r>
            <a:r>
              <a:rPr lang="en-US" baseline="0"/>
              <a:t>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5.8972003499562558E-3"/>
              <c:y val="8.396106736657918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6.679899387576553E-2"/>
              <c:y val="0.13311205890930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CA-40EE-9341-1C0CBC5C1A8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173-4527-9BC6-F45487EAE68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173-4527-9BC6-F45487EAE68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3CA-40EE-9341-1C0CBC5C1A82}"/>
              </c:ext>
            </c:extLst>
          </c:dPt>
          <c:dLbls>
            <c:dLbl>
              <c:idx val="0"/>
              <c:layout>
                <c:manualLayout>
                  <c:x val="-6.679899387576553E-2"/>
                  <c:y val="0.13311205890930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3CA-40EE-9341-1C0CBC5C1A82}"/>
                </c:ext>
              </c:extLst>
            </c:dLbl>
            <c:dLbl>
              <c:idx val="3"/>
              <c:layout>
                <c:manualLayout>
                  <c:x val="5.8972003499562558E-3"/>
                  <c:y val="8.396106736657918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3CA-40EE-9341-1C0CBC5C1A8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Distribution!$A$4:$A$8</c:f>
              <c:strCache>
                <c:ptCount val="4"/>
                <c:pt idx="0">
                  <c:v>Group distribution</c:v>
                </c:pt>
                <c:pt idx="1">
                  <c:v>Individual pickup</c:v>
                </c:pt>
                <c:pt idx="2">
                  <c:v>Through local leaders</c:v>
                </c:pt>
                <c:pt idx="3">
                  <c:v>Through school/youth groups</c:v>
                </c:pt>
              </c:strCache>
            </c:strRef>
          </c:cat>
          <c:val>
            <c:numRef>
              <c:f>Distribution!$B$4:$B$8</c:f>
              <c:numCache>
                <c:formatCode>General</c:formatCode>
                <c:ptCount val="4"/>
                <c:pt idx="0">
                  <c:v>10</c:v>
                </c:pt>
                <c:pt idx="1">
                  <c:v>4</c:v>
                </c:pt>
                <c:pt idx="2">
                  <c:v>57</c:v>
                </c:pt>
                <c:pt idx="3">
                  <c:v>2</c:v>
                </c:pt>
              </c:numCache>
            </c:numRef>
          </c:val>
          <c:extLst>
            <c:ext xmlns:c16="http://schemas.microsoft.com/office/drawing/2014/chart" uri="{C3380CC4-5D6E-409C-BE32-E72D297353CC}">
              <c16:uniqueId val="{00000000-B3CA-40EE-9341-1C0CBC5C1A8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image" Target="../media/image1.png"/><Relationship Id="rId1" Type="http://schemas.openxmlformats.org/officeDocument/2006/relationships/customXml" Target="../ink/ink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1</xdr:col>
      <xdr:colOff>428625</xdr:colOff>
      <xdr:row>6</xdr:row>
      <xdr:rowOff>71437</xdr:rowOff>
    </xdr:from>
    <xdr:to>
      <xdr:col>8</xdr:col>
      <xdr:colOff>285750</xdr:colOff>
      <xdr:row>20</xdr:row>
      <xdr:rowOff>147637</xdr:rowOff>
    </xdr:to>
    <xdr:graphicFrame macro="">
      <xdr:nvGraphicFramePr>
        <xdr:cNvPr id="4" name="Chart 3">
          <a:extLst>
            <a:ext uri="{FF2B5EF4-FFF2-40B4-BE49-F238E27FC236}">
              <a16:creationId xmlns:a16="http://schemas.microsoft.com/office/drawing/2014/main" id="{B61FF148-297A-93E9-69D2-200827F8F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123825</xdr:colOff>
      <xdr:row>15</xdr:row>
      <xdr:rowOff>147637</xdr:rowOff>
    </xdr:from>
    <xdr:to>
      <xdr:col>11</xdr:col>
      <xdr:colOff>428625</xdr:colOff>
      <xdr:row>30</xdr:row>
      <xdr:rowOff>33337</xdr:rowOff>
    </xdr:to>
    <xdr:graphicFrame macro="">
      <xdr:nvGraphicFramePr>
        <xdr:cNvPr id="2" name="Chart 1">
          <a:extLst>
            <a:ext uri="{FF2B5EF4-FFF2-40B4-BE49-F238E27FC236}">
              <a16:creationId xmlns:a16="http://schemas.microsoft.com/office/drawing/2014/main" id="{B547A670-BD60-A951-4869-35750D26B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2</xdr:row>
      <xdr:rowOff>147637</xdr:rowOff>
    </xdr:from>
    <xdr:to>
      <xdr:col>10</xdr:col>
      <xdr:colOff>57150</xdr:colOff>
      <xdr:row>17</xdr:row>
      <xdr:rowOff>33337</xdr:rowOff>
    </xdr:to>
    <xdr:graphicFrame macro="">
      <xdr:nvGraphicFramePr>
        <xdr:cNvPr id="3" name="Chart 2">
          <a:extLst>
            <a:ext uri="{FF2B5EF4-FFF2-40B4-BE49-F238E27FC236}">
              <a16:creationId xmlns:a16="http://schemas.microsoft.com/office/drawing/2014/main" id="{739A5107-4A39-B82A-BE9B-A161B2B27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xdr:colOff>
      <xdr:row>0</xdr:row>
      <xdr:rowOff>80962</xdr:rowOff>
    </xdr:from>
    <xdr:to>
      <xdr:col>9</xdr:col>
      <xdr:colOff>342900</xdr:colOff>
      <xdr:row>14</xdr:row>
      <xdr:rowOff>157162</xdr:rowOff>
    </xdr:to>
    <xdr:graphicFrame macro="">
      <xdr:nvGraphicFramePr>
        <xdr:cNvPr id="3" name="Chart 2">
          <a:extLst>
            <a:ext uri="{FF2B5EF4-FFF2-40B4-BE49-F238E27FC236}">
              <a16:creationId xmlns:a16="http://schemas.microsoft.com/office/drawing/2014/main" id="{48AB8B78-FFF5-24EB-25CB-CD4C15B2E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1819275</xdr:colOff>
      <xdr:row>3</xdr:row>
      <xdr:rowOff>14287</xdr:rowOff>
    </xdr:from>
    <xdr:to>
      <xdr:col>6</xdr:col>
      <xdr:colOff>542925</xdr:colOff>
      <xdr:row>17</xdr:row>
      <xdr:rowOff>90487</xdr:rowOff>
    </xdr:to>
    <xdr:graphicFrame macro="">
      <xdr:nvGraphicFramePr>
        <xdr:cNvPr id="2" name="Chart 1">
          <a:extLst>
            <a:ext uri="{FF2B5EF4-FFF2-40B4-BE49-F238E27FC236}">
              <a16:creationId xmlns:a16="http://schemas.microsoft.com/office/drawing/2014/main" id="{AF9BE8A0-93F6-491E-46E3-C725EBA70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619125</xdr:colOff>
      <xdr:row>8</xdr:row>
      <xdr:rowOff>14287</xdr:rowOff>
    </xdr:from>
    <xdr:to>
      <xdr:col>5</xdr:col>
      <xdr:colOff>295275</xdr:colOff>
      <xdr:row>22</xdr:row>
      <xdr:rowOff>90487</xdr:rowOff>
    </xdr:to>
    <xdr:graphicFrame macro="">
      <xdr:nvGraphicFramePr>
        <xdr:cNvPr id="2" name="Chart 1">
          <a:extLst>
            <a:ext uri="{FF2B5EF4-FFF2-40B4-BE49-F238E27FC236}">
              <a16:creationId xmlns:a16="http://schemas.microsoft.com/office/drawing/2014/main" id="{2D72655E-CF42-8907-405A-856341F4A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276225</xdr:colOff>
      <xdr:row>2</xdr:row>
      <xdr:rowOff>76200</xdr:rowOff>
    </xdr:from>
    <xdr:to>
      <xdr:col>12</xdr:col>
      <xdr:colOff>400050</xdr:colOff>
      <xdr:row>16</xdr:row>
      <xdr:rowOff>152400</xdr:rowOff>
    </xdr:to>
    <xdr:graphicFrame macro="">
      <xdr:nvGraphicFramePr>
        <xdr:cNvPr id="9" name="Chart 8">
          <a:extLst>
            <a:ext uri="{FF2B5EF4-FFF2-40B4-BE49-F238E27FC236}">
              <a16:creationId xmlns:a16="http://schemas.microsoft.com/office/drawing/2014/main" id="{0EE0E4F6-CE69-48C2-AC4A-7A9A9362A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1295400</xdr:colOff>
      <xdr:row>9</xdr:row>
      <xdr:rowOff>176211</xdr:rowOff>
    </xdr:from>
    <xdr:to>
      <xdr:col>8</xdr:col>
      <xdr:colOff>409575</xdr:colOff>
      <xdr:row>24</xdr:row>
      <xdr:rowOff>57150</xdr:rowOff>
    </xdr:to>
    <xdr:graphicFrame macro="">
      <xdr:nvGraphicFramePr>
        <xdr:cNvPr id="2" name="Chart 1">
          <a:extLst>
            <a:ext uri="{FF2B5EF4-FFF2-40B4-BE49-F238E27FC236}">
              <a16:creationId xmlns:a16="http://schemas.microsoft.com/office/drawing/2014/main" id="{AAA9ACC0-A5F0-3AD9-9518-88B64994F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6</xdr:row>
      <xdr:rowOff>4762</xdr:rowOff>
    </xdr:from>
    <xdr:to>
      <xdr:col>8</xdr:col>
      <xdr:colOff>38100</xdr:colOff>
      <xdr:row>20</xdr:row>
      <xdr:rowOff>80962</xdr:rowOff>
    </xdr:to>
    <xdr:graphicFrame macro="">
      <xdr:nvGraphicFramePr>
        <xdr:cNvPr id="5" name="Chart 4">
          <a:extLst>
            <a:ext uri="{FF2B5EF4-FFF2-40B4-BE49-F238E27FC236}">
              <a16:creationId xmlns:a16="http://schemas.microsoft.com/office/drawing/2014/main" id="{133C2EC8-8CBB-B0EC-2D3B-4806437E4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152400</xdr:colOff>
      <xdr:row>3</xdr:row>
      <xdr:rowOff>176212</xdr:rowOff>
    </xdr:from>
    <xdr:to>
      <xdr:col>7</xdr:col>
      <xdr:colOff>381000</xdr:colOff>
      <xdr:row>18</xdr:row>
      <xdr:rowOff>61912</xdr:rowOff>
    </xdr:to>
    <xdr:graphicFrame macro="">
      <xdr:nvGraphicFramePr>
        <xdr:cNvPr id="4" name="Chart 3">
          <a:extLst>
            <a:ext uri="{FF2B5EF4-FFF2-40B4-BE49-F238E27FC236}">
              <a16:creationId xmlns:a16="http://schemas.microsoft.com/office/drawing/2014/main" id="{5D1E067D-7DA1-824E-99DC-892B7B573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742950</xdr:colOff>
      <xdr:row>6</xdr:row>
      <xdr:rowOff>23812</xdr:rowOff>
    </xdr:from>
    <xdr:to>
      <xdr:col>5</xdr:col>
      <xdr:colOff>428625</xdr:colOff>
      <xdr:row>20</xdr:row>
      <xdr:rowOff>100012</xdr:rowOff>
    </xdr:to>
    <xdr:graphicFrame macro="">
      <xdr:nvGraphicFramePr>
        <xdr:cNvPr id="4" name="Chart 3">
          <a:extLst>
            <a:ext uri="{FF2B5EF4-FFF2-40B4-BE49-F238E27FC236}">
              <a16:creationId xmlns:a16="http://schemas.microsoft.com/office/drawing/2014/main" id="{2DD1F454-87DC-2BBF-E29F-979663017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1000125</xdr:colOff>
      <xdr:row>7</xdr:row>
      <xdr:rowOff>4762</xdr:rowOff>
    </xdr:from>
    <xdr:to>
      <xdr:col>6</xdr:col>
      <xdr:colOff>76200</xdr:colOff>
      <xdr:row>21</xdr:row>
      <xdr:rowOff>80962</xdr:rowOff>
    </xdr:to>
    <xdr:graphicFrame macro="">
      <xdr:nvGraphicFramePr>
        <xdr:cNvPr id="2" name="Chart 1">
          <a:extLst>
            <a:ext uri="{FF2B5EF4-FFF2-40B4-BE49-F238E27FC236}">
              <a16:creationId xmlns:a16="http://schemas.microsoft.com/office/drawing/2014/main" id="{2AA8E0D1-D59D-FA38-0535-8B59C5CD7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1028700</xdr:colOff>
      <xdr:row>3</xdr:row>
      <xdr:rowOff>176212</xdr:rowOff>
    </xdr:from>
    <xdr:to>
      <xdr:col>5</xdr:col>
      <xdr:colOff>466725</xdr:colOff>
      <xdr:row>18</xdr:row>
      <xdr:rowOff>61912</xdr:rowOff>
    </xdr:to>
    <xdr:graphicFrame macro="">
      <xdr:nvGraphicFramePr>
        <xdr:cNvPr id="2" name="Chart 1">
          <a:extLst>
            <a:ext uri="{FF2B5EF4-FFF2-40B4-BE49-F238E27FC236}">
              <a16:creationId xmlns:a16="http://schemas.microsoft.com/office/drawing/2014/main" id="{57CF3A83-8093-00FA-DCF8-DB1590119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361950</xdr:colOff>
      <xdr:row>6</xdr:row>
      <xdr:rowOff>61912</xdr:rowOff>
    </xdr:from>
    <xdr:to>
      <xdr:col>5</xdr:col>
      <xdr:colOff>66675</xdr:colOff>
      <xdr:row>20</xdr:row>
      <xdr:rowOff>138112</xdr:rowOff>
    </xdr:to>
    <xdr:graphicFrame macro="">
      <xdr:nvGraphicFramePr>
        <xdr:cNvPr id="2" name="Chart 1">
          <a:extLst>
            <a:ext uri="{FF2B5EF4-FFF2-40B4-BE49-F238E27FC236}">
              <a16:creationId xmlns:a16="http://schemas.microsoft.com/office/drawing/2014/main" id="{AB7D9FD6-0177-4412-8460-63EFC2CBA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180975</xdr:colOff>
      <xdr:row>3</xdr:row>
      <xdr:rowOff>176212</xdr:rowOff>
    </xdr:from>
    <xdr:to>
      <xdr:col>4</xdr:col>
      <xdr:colOff>685800</xdr:colOff>
      <xdr:row>18</xdr:row>
      <xdr:rowOff>61912</xdr:rowOff>
    </xdr:to>
    <xdr:graphicFrame macro="">
      <xdr:nvGraphicFramePr>
        <xdr:cNvPr id="2" name="Chart 1">
          <a:extLst>
            <a:ext uri="{FF2B5EF4-FFF2-40B4-BE49-F238E27FC236}">
              <a16:creationId xmlns:a16="http://schemas.microsoft.com/office/drawing/2014/main" id="{93A3C52F-FE1C-83F0-C075-A02D9A5EE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177723</xdr:colOff>
      <xdr:row>2</xdr:row>
      <xdr:rowOff>16944</xdr:rowOff>
    </xdr:from>
    <xdr:to>
      <xdr:col>6</xdr:col>
      <xdr:colOff>178083</xdr:colOff>
      <xdr:row>2</xdr:row>
      <xdr:rowOff>17304</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Ink 5">
              <a:extLst>
                <a:ext uri="{FF2B5EF4-FFF2-40B4-BE49-F238E27FC236}">
                  <a16:creationId xmlns:a16="http://schemas.microsoft.com/office/drawing/2014/main" id="{90B66C8A-2FED-9A05-76C3-1AB4D373C293}"/>
                </a:ext>
              </a:extLst>
            </xdr14:cNvPr>
            <xdr14:cNvContentPartPr/>
          </xdr14:nvContentPartPr>
          <xdr14:nvPr macro=""/>
          <xdr14:xfrm>
            <a:off x="6101690" y="396000"/>
            <a:ext cx="360" cy="360"/>
          </xdr14:xfrm>
        </xdr:contentPart>
      </mc:Choice>
      <mc:Fallback xmlns="">
        <xdr:pic>
          <xdr:nvPicPr>
            <xdr:cNvPr id="6" name="Ink 5">
              <a:extLst>
                <a:ext uri="{FF2B5EF4-FFF2-40B4-BE49-F238E27FC236}">
                  <a16:creationId xmlns:a16="http://schemas.microsoft.com/office/drawing/2014/main" id="{90B66C8A-2FED-9A05-76C3-1AB4D373C293}"/>
                </a:ext>
              </a:extLst>
            </xdr:cNvPr>
            <xdr:cNvPicPr/>
          </xdr:nvPicPr>
          <xdr:blipFill>
            <a:blip xmlns:r="http://schemas.openxmlformats.org/officeDocument/2006/relationships" r:embed="rId2"/>
            <a:stretch>
              <a:fillRect/>
            </a:stretch>
          </xdr:blipFill>
          <xdr:spPr>
            <a:xfrm>
              <a:off x="6095570" y="389880"/>
              <a:ext cx="12600" cy="12600"/>
            </a:xfrm>
            <a:prstGeom prst="rect">
              <a:avLst/>
            </a:prstGeom>
          </xdr:spPr>
        </xdr:pic>
      </mc:Fallback>
    </mc:AlternateContent>
    <xdr:clientData/>
  </xdr:twoCellAnchor>
  <xdr:twoCellAnchor>
    <xdr:from>
      <xdr:col>0</xdr:col>
      <xdr:colOff>2246778</xdr:colOff>
      <xdr:row>9</xdr:row>
      <xdr:rowOff>146798</xdr:rowOff>
    </xdr:from>
    <xdr:to>
      <xdr:col>4</xdr:col>
      <xdr:colOff>655543</xdr:colOff>
      <xdr:row>24</xdr:row>
      <xdr:rowOff>32498</xdr:rowOff>
    </xdr:to>
    <xdr:graphicFrame macro="">
      <xdr:nvGraphicFramePr>
        <xdr:cNvPr id="5" name="Chart 4">
          <a:extLst>
            <a:ext uri="{FF2B5EF4-FFF2-40B4-BE49-F238E27FC236}">
              <a16:creationId xmlns:a16="http://schemas.microsoft.com/office/drawing/2014/main" id="{9E8511F5-44AB-A4B5-C239-D0DC06AF4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180975</xdr:colOff>
      <xdr:row>3</xdr:row>
      <xdr:rowOff>176212</xdr:rowOff>
    </xdr:from>
    <xdr:to>
      <xdr:col>9</xdr:col>
      <xdr:colOff>161925</xdr:colOff>
      <xdr:row>18</xdr:row>
      <xdr:rowOff>61912</xdr:rowOff>
    </xdr:to>
    <xdr:graphicFrame macro="">
      <xdr:nvGraphicFramePr>
        <xdr:cNvPr id="4" name="Chart 3">
          <a:extLst>
            <a:ext uri="{FF2B5EF4-FFF2-40B4-BE49-F238E27FC236}">
              <a16:creationId xmlns:a16="http://schemas.microsoft.com/office/drawing/2014/main" id="{7EC0BCFE-B44A-0229-EF11-A9ED56A7F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695325</xdr:colOff>
      <xdr:row>8</xdr:row>
      <xdr:rowOff>4762</xdr:rowOff>
    </xdr:from>
    <xdr:to>
      <xdr:col>4</xdr:col>
      <xdr:colOff>180975</xdr:colOff>
      <xdr:row>22</xdr:row>
      <xdr:rowOff>80962</xdr:rowOff>
    </xdr:to>
    <xdr:graphicFrame macro="">
      <xdr:nvGraphicFramePr>
        <xdr:cNvPr id="2" name="Chart 1">
          <a:extLst>
            <a:ext uri="{FF2B5EF4-FFF2-40B4-BE49-F238E27FC236}">
              <a16:creationId xmlns:a16="http://schemas.microsoft.com/office/drawing/2014/main" id="{FD19E9ED-0194-48B8-BFB6-1109D3B22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314325</xdr:colOff>
      <xdr:row>3</xdr:row>
      <xdr:rowOff>147637</xdr:rowOff>
    </xdr:from>
    <xdr:to>
      <xdr:col>7</xdr:col>
      <xdr:colOff>600075</xdr:colOff>
      <xdr:row>18</xdr:row>
      <xdr:rowOff>33337</xdr:rowOff>
    </xdr:to>
    <xdr:graphicFrame macro="">
      <xdr:nvGraphicFramePr>
        <xdr:cNvPr id="2" name="Chart 1">
          <a:extLst>
            <a:ext uri="{FF2B5EF4-FFF2-40B4-BE49-F238E27FC236}">
              <a16:creationId xmlns:a16="http://schemas.microsoft.com/office/drawing/2014/main" id="{63948CF1-2C0D-A9B4-9D4A-1C0C670EC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xdr:col>
      <xdr:colOff>66675</xdr:colOff>
      <xdr:row>8</xdr:row>
      <xdr:rowOff>138112</xdr:rowOff>
    </xdr:from>
    <xdr:to>
      <xdr:col>8</xdr:col>
      <xdr:colOff>466725</xdr:colOff>
      <xdr:row>23</xdr:row>
      <xdr:rowOff>23812</xdr:rowOff>
    </xdr:to>
    <xdr:graphicFrame macro="">
      <xdr:nvGraphicFramePr>
        <xdr:cNvPr id="2" name="Chart 1">
          <a:extLst>
            <a:ext uri="{FF2B5EF4-FFF2-40B4-BE49-F238E27FC236}">
              <a16:creationId xmlns:a16="http://schemas.microsoft.com/office/drawing/2014/main" id="{458C65D5-45CC-621A-83CB-08BA1BFF9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742950</xdr:colOff>
      <xdr:row>3</xdr:row>
      <xdr:rowOff>33337</xdr:rowOff>
    </xdr:from>
    <xdr:to>
      <xdr:col>8</xdr:col>
      <xdr:colOff>438150</xdr:colOff>
      <xdr:row>17</xdr:row>
      <xdr:rowOff>109537</xdr:rowOff>
    </xdr:to>
    <xdr:graphicFrame macro="">
      <xdr:nvGraphicFramePr>
        <xdr:cNvPr id="2" name="Chart 1">
          <a:extLst>
            <a:ext uri="{FF2B5EF4-FFF2-40B4-BE49-F238E27FC236}">
              <a16:creationId xmlns:a16="http://schemas.microsoft.com/office/drawing/2014/main" id="{CB8F8120-4D2E-5EED-FFCC-914B869E9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771525</xdr:colOff>
      <xdr:row>5</xdr:row>
      <xdr:rowOff>147637</xdr:rowOff>
    </xdr:from>
    <xdr:to>
      <xdr:col>6</xdr:col>
      <xdr:colOff>180975</xdr:colOff>
      <xdr:row>20</xdr:row>
      <xdr:rowOff>33337</xdr:rowOff>
    </xdr:to>
    <xdr:graphicFrame macro="">
      <xdr:nvGraphicFramePr>
        <xdr:cNvPr id="2" name="Chart 1">
          <a:extLst>
            <a:ext uri="{FF2B5EF4-FFF2-40B4-BE49-F238E27FC236}">
              <a16:creationId xmlns:a16="http://schemas.microsoft.com/office/drawing/2014/main" id="{CE1630CC-8D93-FDAF-0500-8C969BCA3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2</xdr:col>
      <xdr:colOff>438150</xdr:colOff>
      <xdr:row>3</xdr:row>
      <xdr:rowOff>114300</xdr:rowOff>
    </xdr:from>
    <xdr:to>
      <xdr:col>10</xdr:col>
      <xdr:colOff>133350</xdr:colOff>
      <xdr:row>40</xdr:row>
      <xdr:rowOff>52387</xdr:rowOff>
    </xdr:to>
    <xdr:graphicFrame macro="">
      <xdr:nvGraphicFramePr>
        <xdr:cNvPr id="5" name="Chart 4">
          <a:extLst>
            <a:ext uri="{FF2B5EF4-FFF2-40B4-BE49-F238E27FC236}">
              <a16:creationId xmlns:a16="http://schemas.microsoft.com/office/drawing/2014/main" id="{BB744A8C-C3C6-6EAE-0E8C-A17E25FE1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1678925</xdr:colOff>
      <xdr:row>3</xdr:row>
      <xdr:rowOff>34431</xdr:rowOff>
    </xdr:from>
    <xdr:to>
      <xdr:col>4</xdr:col>
      <xdr:colOff>799871</xdr:colOff>
      <xdr:row>24</xdr:row>
      <xdr:rowOff>103285</xdr:rowOff>
    </xdr:to>
    <xdr:graphicFrame macro="">
      <xdr:nvGraphicFramePr>
        <xdr:cNvPr id="3" name="Chart 2">
          <a:extLst>
            <a:ext uri="{FF2B5EF4-FFF2-40B4-BE49-F238E27FC236}">
              <a16:creationId xmlns:a16="http://schemas.microsoft.com/office/drawing/2014/main" id="{093778ED-3A7F-E725-56DF-F334C6582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1095375</xdr:colOff>
      <xdr:row>3</xdr:row>
      <xdr:rowOff>4762</xdr:rowOff>
    </xdr:from>
    <xdr:to>
      <xdr:col>6</xdr:col>
      <xdr:colOff>266700</xdr:colOff>
      <xdr:row>17</xdr:row>
      <xdr:rowOff>80962</xdr:rowOff>
    </xdr:to>
    <xdr:graphicFrame macro="">
      <xdr:nvGraphicFramePr>
        <xdr:cNvPr id="2" name="Chart 1">
          <a:extLst>
            <a:ext uri="{FF2B5EF4-FFF2-40B4-BE49-F238E27FC236}">
              <a16:creationId xmlns:a16="http://schemas.microsoft.com/office/drawing/2014/main" id="{5CCE1BB5-8D26-1BB7-8CC6-CB2F7205D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1T08:25:45.484"/>
    </inkml:context>
    <inkml:brush xml:id="br0">
      <inkml:brushProperty name="width" value="0.035" units="cm"/>
      <inkml:brushProperty name="height" value="0.035" units="cm"/>
    </inkml:brush>
  </inkml:definitions>
  <inkml:trace contextRef="#ctx0" brushRef="#br0">0 0 14520,'0'0'0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67.611457523148" createdVersion="8" refreshedVersion="8" minRefreshableVersion="3" recordCount="69" xr:uid="{32667A05-B99C-4E6E-ADFD-AFD59944109C}">
  <cacheSource type="worksheet">
    <worksheetSource name="Table1"/>
  </cacheSource>
  <cacheFields count="128">
    <cacheField name="start" numFmtId="164">
      <sharedItems containsSemiMixedTypes="0" containsNonDate="0" containsDate="1" containsString="0" minDate="2025-11-24T09:27:20" maxDate="2025-12-17T13:26:23"/>
    </cacheField>
    <cacheField name="end" numFmtId="164">
      <sharedItems containsSemiMixedTypes="0" containsNonDate="0" containsDate="1" containsString="0" minDate="2025-11-24T11:31:34" maxDate="2025-12-19T19:29:11"/>
    </cacheField>
    <cacheField name="This Questionnaire intends to asses the most Preferred Tree Species  for Kibwezi East &amp; West sub-counties-Makueni County" numFmtId="0">
      <sharedItems containsNonDate="0" containsString="0" containsBlank="1"/>
    </cacheField>
    <cacheField name="Introduction and Consenting" numFmtId="0">
      <sharedItems containsNonDate="0" containsString="0" containsBlank="1"/>
    </cacheField>
    <cacheField name="Dear respondent, the purpose of this study is to gather information on most desired tree species by local communities, reasons for choosing specific tree species, and how trees are used locally or for income generation. Their uses and benefits derived fro" numFmtId="0">
      <sharedItems containsNonDate="0" containsString="0" containsBlank="1"/>
    </cacheField>
    <cacheField name="Do you agree to participate in this survey?" numFmtId="0">
      <sharedItems/>
    </cacheField>
    <cacheField name="SECTION A: Survey Quality Control" numFmtId="0">
      <sharedItems containsNonDate="0" containsString="0" containsBlank="1"/>
    </cacheField>
    <cacheField name="Enumerator Name:" numFmtId="0">
      <sharedItems/>
    </cacheField>
    <cacheField name="Date of the interview" numFmtId="164">
      <sharedItems containsSemiMixedTypes="0" containsNonDate="0" containsDate="1" containsString="0" minDate="2025-11-24T00:00:00" maxDate="2025-12-18T00:00:00"/>
    </cacheField>
    <cacheField name="Ward/ Location/ Village" numFmtId="0">
      <sharedItems/>
    </cacheField>
    <cacheField name="Gps coordinates " numFmtId="0">
      <sharedItems/>
    </cacheField>
    <cacheField name="_Gps coordinates _latitude" numFmtId="0">
      <sharedItems containsSemiMixedTypes="0" containsString="0" containsNumber="1" minValue="-2.4583970000000002" maxValue="-2.267655" count="69">
        <n v="-2.3502969999999999"/>
        <n v="-2.350282"/>
        <n v="-2.3526750000000001"/>
        <n v="-2.3650340000000001"/>
        <n v="-2.345615"/>
        <n v="-2.3400720000000002"/>
        <n v="-2.3401519999999998"/>
        <n v="-2.3159420000000002"/>
        <n v="-2.3159920000000001"/>
        <n v="-2.3153779999999999"/>
        <n v="-2.3166479999999998"/>
        <n v="-2.3133729999999999"/>
        <n v="-2.3655949999999999"/>
        <n v="-2.340398"/>
        <n v="-2.3491949999999999"/>
        <n v="-2.3589769999999999"/>
        <n v="-2.3592819999999999"/>
        <n v="-2.3527770000000001"/>
        <n v="-2.3451970000000002"/>
        <n v="-2.3422670000000001"/>
        <n v="-2.317707"/>
        <n v="-2.3187570000000002"/>
        <n v="-2.36822"/>
        <n v="-2.3578429999999999"/>
        <n v="-2.3714270000000002"/>
        <n v="-2.3683930000000002"/>
        <n v="-2.3610030000000002"/>
        <n v="-2.3514780000000002"/>
        <n v="-2.3691680000000002"/>
        <n v="-2.2775280000000002"/>
        <n v="-2.2705649999999999"/>
        <n v="-2.267655"/>
        <n v="-2.404925"/>
        <n v="-2.4060169999999999"/>
        <n v="-2.40063"/>
        <n v="-2.3702730000000001"/>
        <n v="-2.3718180000000002"/>
        <n v="-2.4210280000000002"/>
        <n v="-2.400185"/>
        <n v="-2.3905349999999999"/>
        <n v="-2.3953419999999999"/>
        <n v="-2.401513"/>
        <n v="-2.448337"/>
        <n v="-2.402393"/>
        <n v="-2.4159519999999999"/>
        <n v="-2.4583970000000002"/>
        <n v="-2.4452980000000002"/>
        <n v="-2.4456120000000001"/>
        <n v="-2.4449100000000001"/>
        <n v="-2.4511029999999998"/>
        <n v="-2.4483250000000001"/>
        <n v="-2.4495469999999999"/>
        <n v="-2.448718"/>
        <n v="-2.4486699999999999"/>
        <n v="-2.4484029999999999"/>
        <n v="-2.4436969999999998"/>
        <n v="-2.4158400000000002"/>
        <n v="-2.4468969999999999"/>
        <n v="-2.4486219999999999"/>
        <n v="-2.4476779999999998"/>
        <n v="-2.4482020000000002"/>
        <n v="-2.4508260000000002"/>
        <n v="-2.4519069999999998"/>
        <n v="-2.4520279999999999"/>
        <n v="-2.450062"/>
        <n v="-2.4517030000000002"/>
        <n v="-2.4510070000000002"/>
        <n v="-2.3456899999999998"/>
        <n v="-2.4480819999999999"/>
      </sharedItems>
    </cacheField>
    <cacheField name="_Gps coordinates _longitude" numFmtId="0">
      <sharedItems containsSemiMixedTypes="0" containsString="0" containsNumber="1" minValue="37.847161999999997" maxValue="38.098147869999998" count="68">
        <n v="37.883617999999998"/>
        <n v="37.883524999999999"/>
        <n v="37.883417999999999"/>
        <n v="37.892175000000002"/>
        <n v="37.886552000000002"/>
        <n v="37.877119999999998"/>
        <n v="37.877755000000001"/>
        <n v="37.854598000000003"/>
        <n v="37.853209999999997"/>
        <n v="37.851464999999997"/>
        <n v="37.850451999999997"/>
        <n v="37.847161999999997"/>
        <n v="37.878844999999998"/>
        <n v="37.876502000000002"/>
        <n v="37.879190000000001"/>
        <n v="37.879545"/>
        <n v="37.901086999999997"/>
        <n v="37.903385"/>
        <n v="37.891672999999997"/>
        <n v="37.892251999999999"/>
        <n v="37.883718000000002"/>
        <n v="37.882547000000002"/>
        <n v="37.895834999999998"/>
        <n v="37.887732999999997"/>
        <n v="37.990074999999997"/>
        <n v="37.990720000000003"/>
        <n v="37.991553000000003"/>
        <n v="37.960855000000002"/>
        <n v="37.991407000000002"/>
        <n v="38.027372"/>
        <n v="38.023947"/>
        <n v="38.031067"/>
        <n v="38.085234999999997"/>
        <n v="38.092958000000003"/>
        <n v="38.096963000000002"/>
        <n v="37.990423999999997"/>
        <n v="37.988379999999999"/>
        <n v="38.094892000000002"/>
        <n v="38.097790000000003"/>
        <n v="37.957903000000002"/>
        <n v="37.965102000000002"/>
        <n v="38.098147869999998"/>
        <n v="37.966602999999999"/>
        <n v="38.088343000000002"/>
        <n v="38.080390000000001"/>
        <n v="37.968316999999999"/>
        <n v="37.96678"/>
        <n v="37.963034999999998"/>
        <n v="37.965535000000003"/>
        <n v="37.966365000000003"/>
        <n v="37.968552000000003"/>
        <n v="37.966732999999998"/>
        <n v="37.968290000000003"/>
        <n v="37.968147999999999"/>
        <n v="37.965398"/>
        <n v="37.965741999999999"/>
        <n v="38.087372999999999"/>
        <n v="37.967512999999997"/>
        <n v="37.969143000000003"/>
        <n v="37.969633000000002"/>
        <n v="37.969214999999998"/>
        <n v="37.971040000000002"/>
        <n v="37.970677999999999"/>
        <n v="37.970942000000001"/>
        <n v="37.968597000000003"/>
        <n v="37.969549999999998"/>
        <n v="37.968152000000003"/>
        <n v="37.872562000000002"/>
      </sharedItems>
    </cacheField>
    <cacheField name="_Gps coordinates _altitude" numFmtId="0">
      <sharedItems containsSemiMixedTypes="0" containsString="0" containsNumber="1" minValue="0" maxValue="1030.2" count="64">
        <n v="984.8"/>
        <n v="1014.3"/>
        <n v="995.7"/>
        <n v="0"/>
        <n v="997.2"/>
        <n v="983.2"/>
        <n v="1002.9"/>
        <n v="879.2"/>
        <n v="1005.3"/>
        <n v="979.1"/>
        <n v="1030.2"/>
        <n v="969.8"/>
        <n v="962.5"/>
        <n v="997.6"/>
        <n v="998.7"/>
        <n v="984.1"/>
        <n v="983.1"/>
        <n v="986"/>
        <n v="926.7"/>
        <n v="993.6"/>
        <n v="997"/>
        <n v="998.2"/>
        <n v="988"/>
        <n v="860.5"/>
        <n v="863.4"/>
        <n v="873.09999999999991"/>
        <n v="860.09999999999991"/>
        <n v="834"/>
        <n v="767.30000000000007"/>
        <n v="767.80000000000007"/>
        <n v="757.90000000000009"/>
        <n v="746"/>
        <n v="752.4"/>
        <n v="733.80000000000007"/>
        <n v="880.5"/>
        <n v="821.09999999999991"/>
        <n v="749.80000000000007"/>
        <n v="745.4"/>
        <n v="743.6"/>
        <n v="867.8"/>
        <n v="795.9"/>
        <n v="925.8"/>
        <n v="743.80000000000007"/>
        <n v="772.90000000000009"/>
        <n v="952.19999999999993"/>
        <n v="878.69999999999993"/>
        <n v="942.69999999999993"/>
        <n v="935.19999999999993"/>
        <n v="951"/>
        <n v="915.5"/>
        <n v="809.6"/>
        <n v="945.19999999999993"/>
        <n v="938.8"/>
        <n v="770.9"/>
        <n v="951.3"/>
        <n v="931.9"/>
        <n v="908.69999999999993"/>
        <n v="940"/>
        <n v="972.19999999999993"/>
        <n v="954.5"/>
        <n v="929.4"/>
        <n v="896.3"/>
        <n v="929"/>
        <n v="1001.7"/>
      </sharedItems>
    </cacheField>
    <cacheField name="_Gps coordinates _precision" numFmtId="0">
      <sharedItems containsSemiMixedTypes="0" containsString="0" containsNumber="1" minValue="3.0999999046325679" maxValue="600"/>
    </cacheField>
    <cacheField name="SECTION B: Respondents General Information" numFmtId="0">
      <sharedItems containsNonDate="0" containsString="0" containsBlank="1"/>
    </cacheField>
    <cacheField name="Name of the respondent " numFmtId="0">
      <sharedItems/>
    </cacheField>
    <cacheField name="Gender" numFmtId="0">
      <sharedItems count="2">
        <s v="Female"/>
        <s v="Male"/>
      </sharedItems>
    </cacheField>
    <cacheField name="Age" numFmtId="0">
      <sharedItems count="9">
        <s v="41-45"/>
        <s v="46-50"/>
        <s v="56-60"/>
        <s v="61 and above"/>
        <s v="36-40"/>
        <s v="51-55"/>
        <s v="26-30"/>
        <s v="18-25"/>
        <s v="31-35"/>
      </sharedItems>
    </cacheField>
    <cacheField name="Household size" numFmtId="0">
      <sharedItems containsNonDate="0" containsString="0" containsBlank="1"/>
    </cacheField>
    <cacheField name="Male " numFmtId="0">
      <sharedItems containsSemiMixedTypes="0" containsString="0" containsNumber="1" containsInteger="1" minValue="1" maxValue="7"/>
    </cacheField>
    <cacheField name="Female" numFmtId="0">
      <sharedItems containsSemiMixedTypes="0" containsString="0" containsNumber="1" containsInteger="1" minValue="1" maxValue="6"/>
    </cacheField>
    <cacheField name="Contact (Phone No:) " numFmtId="0">
      <sharedItems containsString="0" containsBlank="1" containsNumber="1" containsInteger="1" minValue="117634006" maxValue="7079458982"/>
    </cacheField>
    <cacheField name="Occupation of the respondent" numFmtId="0">
      <sharedItems count="16">
        <s v="Teacher"/>
        <s v="Farmer"/>
        <s v="Bursar"/>
        <s v="Businessman"/>
        <s v="Nurse"/>
        <s v="Electrician"/>
        <s v="Civil servant"/>
        <s v="Business lady"/>
        <s v="Community health promoter"/>
        <s v="Casual worker"/>
        <s v="Pastor"/>
        <s v="Technician"/>
        <s v="Driver"/>
        <s v="Sales and Marketing"/>
        <s v="Businessman lady" u="1"/>
        <s v="Business man" u="1"/>
      </sharedItems>
    </cacheField>
    <cacheField name="Highest level of education" numFmtId="0">
      <sharedItems count="3">
        <s v="Tertiary"/>
        <s v="Secondary "/>
        <s v="Primary "/>
      </sharedItems>
    </cacheField>
    <cacheField name="SECTION C: Farm Forestry Practices" numFmtId="0">
      <sharedItems containsNonDate="0" containsString="0" containsBlank="1"/>
    </cacheField>
    <cacheField name="What is your main livelihood source?" numFmtId="0">
      <sharedItems count="9">
        <s v="Crop farming"/>
        <s v="Livestock keeping Agroforestry Other"/>
        <s v="Crop farming Livestock keeping Agroforestry Other"/>
        <s v="Crop farming Agroforestry Other"/>
        <s v="Crop farming Livestock keeping"/>
        <s v="Crop farming Agroforestry"/>
        <s v="Other"/>
        <s v="Crop farming Livestock keeping Agroforestry"/>
        <s v="Crop farming Livestock keeping Other"/>
      </sharedItems>
    </cacheField>
    <cacheField name="Crop farming" numFmtId="0">
      <sharedItems containsSemiMixedTypes="0" containsString="0" containsNumber="1" containsInteger="1" minValue="0" maxValue="1" count="2">
        <n v="1"/>
        <n v="0"/>
      </sharedItems>
    </cacheField>
    <cacheField name="Livestock keeping" numFmtId="0">
      <sharedItems containsSemiMixedTypes="0" containsString="0" containsNumber="1" containsInteger="1" minValue="0" maxValue="1" count="2">
        <n v="0"/>
        <n v="1"/>
      </sharedItems>
    </cacheField>
    <cacheField name="Agroforestry" numFmtId="0">
      <sharedItems containsSemiMixedTypes="0" containsString="0" containsNumber="1" containsInteger="1" minValue="0" maxValue="1" count="2">
        <n v="0"/>
        <n v="1"/>
      </sharedItems>
    </cacheField>
    <cacheField name="Other" numFmtId="0">
      <sharedItems containsSemiMixedTypes="0" containsString="0" containsNumber="1" containsInteger="1" minValue="0" maxValue="1" count="2">
        <n v="0"/>
        <n v="1"/>
      </sharedItems>
    </cacheField>
    <cacheField name="For Others, specify" numFmtId="0">
      <sharedItems containsBlank="1" count="7">
        <m/>
        <s v="Poultry"/>
        <s v="Business"/>
        <s v="Poultry keeping"/>
        <s v="Nurse"/>
        <s v="Employment"/>
        <s v="Beekeeping, Poultry"/>
      </sharedItems>
    </cacheField>
    <cacheField name="Do you practice Forestry" numFmtId="0">
      <sharedItems count="2">
        <s v="No"/>
        <s v="Yes"/>
      </sharedItems>
    </cacheField>
    <cacheField name="Do you practice farm forestry (planting crops and trees)" numFmtId="0">
      <sharedItems count="2">
        <s v="No "/>
        <s v="Yes "/>
      </sharedItems>
    </cacheField>
    <cacheField name="If yes what other farm activities do you practice in your farm?" numFmtId="0">
      <sharedItems containsBlank="1"/>
    </cacheField>
    <cacheField name="Livestock keeping " numFmtId="0">
      <sharedItems containsString="0" containsBlank="1" containsNumber="1" containsInteger="1" minValue="0" maxValue="1" count="3">
        <m/>
        <n v="1"/>
        <n v="0"/>
      </sharedItems>
    </cacheField>
    <cacheField name="Grass planting " numFmtId="0">
      <sharedItems containsString="0" containsBlank="1" containsNumber="1" containsInteger="1" minValue="0" maxValue="1" count="3">
        <m/>
        <n v="0"/>
        <n v="1"/>
      </sharedItems>
    </cacheField>
    <cacheField name="Horticulture " numFmtId="0">
      <sharedItems containsString="0" containsBlank="1" containsNumber="1" containsInteger="1" minValue="0" maxValue="1" count="3">
        <m/>
        <n v="1"/>
        <n v="0"/>
      </sharedItems>
    </cacheField>
    <cacheField name="Crop farming " numFmtId="0">
      <sharedItems containsString="0" containsBlank="1" containsNumber="1" containsInteger="1" minValue="1" maxValue="1" count="2">
        <m/>
        <n v="1"/>
      </sharedItems>
    </cacheField>
    <cacheField name="Bee keeping " numFmtId="0">
      <sharedItems containsString="0" containsBlank="1" containsNumber="1" containsInteger="1" minValue="0" maxValue="1" count="3">
        <m/>
        <n v="0"/>
        <n v="1"/>
      </sharedItems>
    </cacheField>
    <cacheField name="What is the area of your land under farm forestry (give acres)" numFmtId="0">
      <sharedItems containsString="0" containsBlank="1" containsNumber="1" containsInteger="1" minValue="2" maxValue="52"/>
    </cacheField>
    <cacheField name="Where do you obtain your seedlings?" numFmtId="0">
      <sharedItems/>
    </cacheField>
    <cacheField name="KEFRI" numFmtId="0">
      <sharedItems containsSemiMixedTypes="0" containsString="0" containsNumber="1" containsInteger="1" minValue="0" maxValue="1"/>
    </cacheField>
    <cacheField name="County" numFmtId="0">
      <sharedItems containsSemiMixedTypes="0" containsString="0" containsNumber="1" containsInteger="1" minValue="0" maxValue="0"/>
    </cacheField>
    <cacheField name="Local nursery" numFmtId="0">
      <sharedItems containsSemiMixedTypes="0" containsString="0" containsNumber="1" containsInteger="1" minValue="0" maxValue="1"/>
    </cacheField>
    <cacheField name="NGO" numFmtId="0">
      <sharedItems containsSemiMixedTypes="0" containsString="0" containsNumber="1" containsInteger="1" minValue="0" maxValue="1"/>
    </cacheField>
    <cacheField name="Self-raised" numFmtId="0">
      <sharedItems containsSemiMixedTypes="0" containsString="0" containsNumber="1" containsInteger="1" minValue="0" maxValue="1"/>
    </cacheField>
    <cacheField name="Other3" numFmtId="0">
      <sharedItems containsSemiMixedTypes="0" containsString="0" containsNumber="1" containsInteger="1" minValue="0" maxValue="1"/>
    </cacheField>
    <cacheField name="if other, specify" numFmtId="0">
      <sharedItems containsBlank="1"/>
    </cacheField>
    <cacheField name="What are your main purposes for planting trees?" numFmtId="0">
      <sharedItems/>
    </cacheField>
    <cacheField name="Shade" numFmtId="0">
      <sharedItems containsSemiMixedTypes="0" containsString="0" containsNumber="1" containsInteger="1" minValue="1" maxValue="1" count="1">
        <n v="1"/>
      </sharedItems>
    </cacheField>
    <cacheField name="Timber" numFmtId="0">
      <sharedItems containsSemiMixedTypes="0" containsString="0" containsNumber="1" containsInteger="1" minValue="0" maxValue="1" count="2">
        <n v="1"/>
        <n v="0"/>
      </sharedItems>
    </cacheField>
    <cacheField name="Fodder" numFmtId="0">
      <sharedItems containsSemiMixedTypes="0" containsString="0" containsNumber="1" containsInteger="1" minValue="0" maxValue="1" count="2">
        <n v="0"/>
        <n v="1"/>
      </sharedItems>
    </cacheField>
    <cacheField name="Fruits" numFmtId="0">
      <sharedItems containsSemiMixedTypes="0" containsString="0" containsNumber="1" containsInteger="1" minValue="0" maxValue="1" count="2">
        <n v="1"/>
        <n v="0"/>
      </sharedItems>
    </cacheField>
    <cacheField name="Fuelwood" numFmtId="0">
      <sharedItems containsSemiMixedTypes="0" containsString="0" containsNumber="1" containsInteger="1" minValue="0" maxValue="1" count="2">
        <n v="0"/>
        <n v="1"/>
      </sharedItems>
    </cacheField>
    <cacheField name="Boundary marking" numFmtId="0">
      <sharedItems containsSemiMixedTypes="0" containsString="0" containsNumber="1" containsInteger="1" minValue="0" maxValue="1" count="2">
        <n v="1"/>
        <n v="0"/>
      </sharedItems>
    </cacheField>
    <cacheField name="Income generation" numFmtId="0">
      <sharedItems containsSemiMixedTypes="0" containsString="0" containsNumber="1" containsInteger="1" minValue="0" maxValue="1" count="2">
        <n v="0"/>
        <n v="1"/>
      </sharedItems>
    </cacheField>
    <cacheField name="Environmental reasons (erosion control, windbreak, etc)" numFmtId="0">
      <sharedItems containsSemiMixedTypes="0" containsString="0" containsNumber="1" containsInteger="1" minValue="0" maxValue="1" count="2">
        <n v="1"/>
        <n v="0"/>
      </sharedItems>
    </cacheField>
    <cacheField name="Other2" numFmtId="0">
      <sharedItems containsSemiMixedTypes="0" containsString="0" containsNumber="1" containsInteger="1" minValue="0" maxValue="1"/>
    </cacheField>
    <cacheField name="Specify, Other" numFmtId="0">
      <sharedItems containsBlank="1"/>
    </cacheField>
    <cacheField name="SECTION D: Tree Species Preferences" numFmtId="0">
      <sharedItems containsNonDate="0" containsString="0" containsBlank="1"/>
    </cacheField>
    <cacheField name="From the list below, select  ten tree species you most prefer to plant and why (eg. fruit, timber, fodder, medicine, resilience)?" numFmtId="0">
      <sharedItems/>
    </cacheField>
    <cacheField name="Tamarindus indica (Tamarind)" numFmtId="0">
      <sharedItems containsSemiMixedTypes="0" containsString="0" containsNumber="1" containsInteger="1" minValue="0" maxValue="1" count="2">
        <n v="0"/>
        <n v="1"/>
      </sharedItems>
    </cacheField>
    <cacheField name="Melia Volkensii" numFmtId="0">
      <sharedItems containsSemiMixedTypes="0" containsString="0" containsNumber="1" containsInteger="1" minValue="0" maxValue="1" count="2">
        <n v="1"/>
        <n v="0"/>
      </sharedItems>
    </cacheField>
    <cacheField name="Melia azederach" numFmtId="0">
      <sharedItems containsSemiMixedTypes="0" containsString="0" containsNumber="1" containsInteger="1" minValue="0" maxValue="1" count="2">
        <n v="0"/>
        <n v="1"/>
      </sharedItems>
    </cacheField>
    <cacheField name="Neem (Azadirachta indica)" numFmtId="0">
      <sharedItems containsSemiMixedTypes="0" containsString="0" containsNumber="1" containsInteger="1" minValue="0" maxValue="1" count="2">
        <n v="1"/>
        <n v="0"/>
      </sharedItems>
    </cacheField>
    <cacheField name="Senna siamea " numFmtId="0">
      <sharedItems containsSemiMixedTypes="0" containsString="0" containsNumber="1" containsInteger="1" minValue="0" maxValue="1" count="2">
        <n v="0"/>
        <n v="1"/>
      </sharedItems>
    </cacheField>
    <cacheField name="Senna abbreviata" numFmtId="0">
      <sharedItems containsSemiMixedTypes="0" containsString="0" containsNumber="1" containsInteger="1" minValue="0" maxValue="1" count="2">
        <n v="0"/>
        <n v="1"/>
      </sharedItems>
    </cacheField>
    <cacheField name="Acacia tortilis" numFmtId="0">
      <sharedItems containsSemiMixedTypes="0" containsString="0" containsNumber="1" containsInteger="1" minValue="0" maxValue="1" count="2">
        <n v="1"/>
        <n v="0"/>
      </sharedItems>
    </cacheField>
    <cacheField name="Acacia melifera" numFmtId="0">
      <sharedItems containsSemiMixedTypes="0" containsString="0" containsNumber="1" containsInteger="1" minValue="0" maxValue="1" count="2">
        <n v="0"/>
        <n v="1"/>
      </sharedItems>
    </cacheField>
    <cacheField name="Acacia nilotica" numFmtId="0">
      <sharedItems containsSemiMixedTypes="0" containsString="0" containsNumber="1" containsInteger="1" minValue="0" maxValue="0" count="1">
        <n v="0"/>
      </sharedItems>
    </cacheField>
    <cacheField name="Acacia seyal" numFmtId="0">
      <sharedItems containsSemiMixedTypes="0" containsString="0" containsNumber="1" containsInteger="1" minValue="0" maxValue="1" count="2">
        <n v="0"/>
        <n v="1"/>
      </sharedItems>
    </cacheField>
    <cacheField name="Acacia senegal" numFmtId="0">
      <sharedItems containsSemiMixedTypes="0" containsString="0" containsNumber="1" containsInteger="1" minValue="0" maxValue="0" count="1">
        <n v="0"/>
      </sharedItems>
    </cacheField>
    <cacheField name="Acacia elata" numFmtId="0">
      <sharedItems containsSemiMixedTypes="0" containsString="0" containsNumber="1" containsInteger="1" minValue="0" maxValue="0" count="1">
        <n v="0"/>
      </sharedItems>
    </cacheField>
    <cacheField name="Dalbergia melanoxylon" numFmtId="0">
      <sharedItems containsSemiMixedTypes="0" containsString="0" containsNumber="1" containsInteger="1" minValue="0" maxValue="1" count="2">
        <n v="1"/>
        <n v="0"/>
      </sharedItems>
    </cacheField>
    <cacheField name="Delonix regia" numFmtId="0">
      <sharedItems containsSemiMixedTypes="0" containsString="0" containsNumber="1" containsInteger="1" minValue="0" maxValue="1" count="2">
        <n v="0"/>
        <n v="1"/>
      </sharedItems>
    </cacheField>
    <cacheField name="croton megalocarpus" numFmtId="0">
      <sharedItems containsSemiMixedTypes="0" containsString="0" containsNumber="1" containsInteger="1" minValue="0" maxValue="1" count="2">
        <n v="1"/>
        <n v="0"/>
      </sharedItems>
    </cacheField>
    <cacheField name="Combretum brownii" numFmtId="0">
      <sharedItems containsSemiMixedTypes="0" containsString="0" containsNumber="1" containsInteger="1" minValue="0" maxValue="0" count="1">
        <n v="0"/>
      </sharedItems>
    </cacheField>
    <cacheField name="Vitex payos" numFmtId="0">
      <sharedItems containsSemiMixedTypes="0" containsString="0" containsNumber="1" containsInteger="1" minValue="0" maxValue="0" count="1">
        <n v="0"/>
      </sharedItems>
    </cacheField>
    <cacheField name="Baobab (Adonsonia digitata)" numFmtId="0">
      <sharedItems containsSemiMixedTypes="0" containsString="0" containsNumber="1" containsInteger="1" minValue="0" maxValue="0" count="1">
        <n v="0"/>
      </sharedItems>
    </cacheField>
    <cacheField name="Mango" numFmtId="0">
      <sharedItems containsSemiMixedTypes="0" containsString="0" containsNumber="1" containsInteger="1" minValue="0" maxValue="1" count="2">
        <n v="1"/>
        <n v="0"/>
      </sharedItems>
    </cacheField>
    <cacheField name="Avocado" numFmtId="0">
      <sharedItems containsSemiMixedTypes="0" containsString="0" containsNumber="1" containsInteger="1" minValue="0" maxValue="1" count="2">
        <n v="1"/>
        <n v="0"/>
      </sharedItems>
    </cacheField>
    <cacheField name="Indian osyris" numFmtId="0">
      <sharedItems containsSemiMixedTypes="0" containsString="0" containsNumber="1" containsInteger="1" minValue="0" maxValue="1" count="2">
        <n v="0"/>
        <n v="1"/>
      </sharedItems>
    </cacheField>
    <cacheField name="Balanites aegyptiaca" numFmtId="0">
      <sharedItems containsSemiMixedTypes="0" containsString="0" containsNumber="1" containsInteger="1" minValue="0" maxValue="1" count="2">
        <n v="0"/>
        <n v="1"/>
      </sharedItems>
    </cacheField>
    <cacheField name="Terminalia brownii" numFmtId="0">
      <sharedItems containsSemiMixedTypes="0" containsString="0" containsNumber="1" containsInteger="1" minValue="0" maxValue="1" count="2">
        <n v="0"/>
        <n v="1"/>
      </sharedItems>
    </cacheField>
    <cacheField name="Moringa oleifera" numFmtId="0">
      <sharedItems containsSemiMixedTypes="0" containsString="0" containsNumber="1" containsInteger="1" minValue="0" maxValue="1" count="2">
        <n v="1"/>
        <n v="0"/>
      </sharedItems>
    </cacheField>
    <cacheField name="Olea africana" numFmtId="0">
      <sharedItems containsSemiMixedTypes="0" containsString="0" containsNumber="1" containsInteger="1" minValue="0" maxValue="1" count="2">
        <n v="0"/>
        <n v="1"/>
      </sharedItems>
    </cacheField>
    <cacheField name="Bambusa vulgaris (Bamboo)" numFmtId="0">
      <sharedItems containsSemiMixedTypes="0" containsString="0" containsNumber="1" containsInteger="1" minValue="0" maxValue="0" count="1">
        <n v="0"/>
      </sharedItems>
    </cacheField>
    <cacheField name="Passion fruit" numFmtId="0">
      <sharedItems containsSemiMixedTypes="0" containsString="0" containsNumber="1" containsInteger="1" minValue="0" maxValue="1" count="2">
        <n v="1"/>
        <n v="0"/>
      </sharedItems>
    </cacheField>
    <cacheField name="Lemon tree" numFmtId="0">
      <sharedItems containsSemiMixedTypes="0" containsString="0" containsNumber="1" containsInteger="1" minValue="0" maxValue="1" count="2">
        <n v="1"/>
        <n v="0"/>
      </sharedItems>
    </cacheField>
    <cacheField name="Acacia xanthophloea " numFmtId="0">
      <sharedItems containsSemiMixedTypes="0" containsString="0" containsNumber="1" containsInteger="1" minValue="0" maxValue="0" count="1">
        <n v="0"/>
      </sharedItems>
    </cacheField>
    <cacheField name="Give Five (5) most preferred tree species to be planted in your farm in of priority and atleast three (3) reason  for each preference.  " numFmtId="0">
      <sharedItems containsNonDate="0" containsString="0" containsBlank="1"/>
    </cacheField>
    <cacheField name="1st Choice tree species" numFmtId="0">
      <sharedItems count="5">
        <s v="Melia volkensii"/>
        <s v="Neem"/>
        <s v="Mango"/>
        <s v="Lemon"/>
        <s v="Indian osyris"/>
      </sharedItems>
    </cacheField>
    <cacheField name="Reasons" numFmtId="0">
      <sharedItems count="68">
        <s v="Source of income, for shade, Erosion control"/>
        <s v="Income generation, shade, Timber"/>
        <s v="For shed, medicinal, Firewood"/>
        <s v="Income generation, Erosion control, manure, Timber, windbreaker, Fuelwood"/>
        <s v="For timber, Income generation,For shade, Erosion control, Fuelwood."/>
        <s v="Food, income generation, Health benefits,Reduce soil erosion, climate change resilience"/>
        <s v="Fruit, Income generation, Shade, Fuelwood,"/>
        <s v="Medicinal, For shade, Timber"/>
        <s v="Fruit, source of income, soil erosion control"/>
        <s v="Fruits, source of income, soil erosion control"/>
        <s v="Fruits, source of income, controls soil erosion"/>
        <s v="Fruits, soil erosion control, Health and nutritional purposes, source of income"/>
        <s v="A fast-growing, termite-resistant hardwood, excellent for timber (like mahogany), poles, fuel, and fodder, thriving in dry areas."/>
        <s v="Fruits, For income, Fuelwood, Shade, Erosion control"/>
        <s v="Timber, Income generation, Fooder"/>
        <s v="Timber, Income generation, Windbreaker"/>
        <s v="Income generation, Health and nutritional purposes, Soil erosion control,Fuelwood"/>
        <s v="Health and nutritional purposes, source of income,"/>
        <s v="Highly drought tolerant, Valuable timber, Resistance to pests,"/>
        <s v="valuable timber, highly drought tolerant, Resistance to pests"/>
        <s v="For timber and Fuelwood, Income generation, Drought tolerant"/>
        <s v="Drought tolerant, hard timber, Resistance to pests"/>
        <s v="Hard timber, Drought tolerant,"/>
        <s v="Drought tolerant, Valuable timber, Resistance to pests"/>
        <s v="For income generation, , Medicinal,"/>
        <s v="Drought tolerant, Resistance to pests , Hard timber"/>
        <s v="Health and nutritional purposes, source of income, Soil erosion control"/>
        <s v="Health and nutritional purposes, source of income, Fuelwood"/>
        <s v="Improves soil fertility(Fallen leaves decomposes), generates income, Fruits"/>
        <s v="Hardy timber, income generation, drought tolerant"/>
        <s v="Used for timber , Shade and fuelwood, income generation"/>
        <s v="Hardy timber, Shade and cooling, windbreaker"/>
        <s v="Source of income, Fruits, Health and nutritional purposes, Fallen leaves improves soil fertility"/>
        <s v="Drought tolerant, Timber, windbreaker"/>
        <s v="Drought tolerant, hardy timber,"/>
        <s v="Hardy wood, drought tolerant,  Acts as Windbreaker"/>
        <s v="Hardy wood, Resistance to pests,"/>
        <s v="Source of income, Health and nutritional purposes, Fallen leaves decomposes to improve soil fertility"/>
        <s v="Hardy timber, source of income , Shade"/>
        <s v="Income generation, Fruits , Shade"/>
        <s v="Drought tolerant , Hardy wood , Not affected by pests"/>
        <s v="Hardy wood, Drought tolerant, Not attacked by pests"/>
        <s v="Hardy wood timber, drought tolerant, Resistance to pests"/>
        <s v="Drought tolerant, windbreaker, For shade and cooling"/>
        <s v="Hardy timber,  Resistance to pests, Drought tolerant"/>
        <s v="Hard timber, Not attacked by pests, Drought tolerant"/>
        <s v="Source of income, Health and nutritional purposes, Fallen leaves improves soil fertility"/>
        <s v="Income generation, Drought tolerant, pests resistance"/>
        <s v="Income generation, Hard timber, drought tolerant"/>
        <s v="Good for agroforestry, Hardy wood, drought tolerant"/>
        <s v="Source of income, Health and nutritional purposes"/>
        <s v="Good for shade, Hard timber, Pests resistance"/>
        <s v="Hardy wood, Resistance to pests, Shade"/>
        <s v="Hardy timber and valuable, resistance to pests, drought tolerant"/>
        <s v="For income generation, Nutritional purposes,"/>
        <s v="Hardy timber, Drought tolerant, Acts as Windbreaker"/>
        <s v="Nutritional purposes, fast growing,  income generation"/>
        <s v="Income generation, Fast growing, Nutritional and Health benefits"/>
        <s v="Hard timber, drought tolerant,  income generation"/>
        <s v="Fast growing, good for shade and windbreak, drought tolerant"/>
        <s v="Drought tolerant, Pests resistance, Fast growing in dryland"/>
        <s v="Hardy timber, Drought tolerant, pests resistance"/>
        <s v="Drought tolerant, For income generation"/>
        <s v="Hardy timber, drought tolerant,  income generation"/>
        <s v="Medicinal Purposes, drought tolerant, Good shade and windbreak"/>
        <s v="Fruits, income generation, Shade"/>
        <s v="Fruits, Income generation, Fuelwood, Fooder"/>
        <s v="Hardy timber, drought tolerant, Resistance to pests"/>
      </sharedItems>
    </cacheField>
    <cacheField name="2nd Choice tree species" numFmtId="0">
      <sharedItems count="12">
        <s v="Acacia tortilis"/>
        <s v="Mango"/>
        <s v="Melia volkensii"/>
        <s v="Lemon"/>
        <s v="Salvadora persica"/>
        <s v="Neem"/>
        <s v="Dalbergia melanoxyon"/>
        <s v="Avocado"/>
        <s v="Terminalia brownii"/>
        <s v="Melia Azedarach"/>
        <s v="Passion fruits"/>
        <s v="Tamarindus indica"/>
      </sharedItems>
    </cacheField>
    <cacheField name="Reasons2" numFmtId="0">
      <sharedItems count="69">
        <s v="For feeder, For shade, Erosion control"/>
        <s v="Fruits, income generation, Fuelwood"/>
        <s v="Timber, source of income, Erosion control"/>
        <s v="Fruit, Erosion control, Fuelwood, Income generation, Climate change"/>
        <s v="Income generation, Fruits, Erosion conservation,Wood and timber, For shade"/>
        <s v="Income generation, For Health benefits, Erosion control, Fuelwood, supports polinators"/>
        <s v="fruits, income, Medicinal"/>
        <s v="Timber, Fuelwood, Environmental reasons, Fodder"/>
        <s v="Source of income, Fruit, Soil erosion control"/>
        <s v="Fruits, income generation, Fuelwood, Health and nutritional purposes"/>
        <s v="For timber, income generation, windbreaker"/>
        <s v="For timber, Windbreaker, Income generation"/>
        <s v="Provides fodder, soil protection, and is good for amenity."/>
        <s v="Fruits, Health and nutritional purposes, Income generation"/>
        <s v="Fruit, Source of income, Fuelwood"/>
        <s v="Fruit, Income generation, Soil Erosion control"/>
        <s v="Health and nutritional purposes, source of income, soil erosion control, Fuelwood"/>
        <s v="Health and nutritional purposes, Soil erosion control"/>
        <s v="For fruits, income generation, Fuelwood"/>
        <s v="For Fruits, Income generation, Soil erosion control"/>
        <s v="For medicinal purposes, windbreaker, For shade"/>
        <s v="For fruits, increases soil fertility(fallen leaves decompose and add nutrients to the soil) Source of income"/>
        <s v="Windbreaker, Timber and Fuelwood, Soil erosion control"/>
        <s v="Windbreaker, Good for shade, Fast growing"/>
        <s v="Drought tolerant, The timber is used for wood curving, windbreaker"/>
        <s v="Health and nutritional purposes, source of income"/>
        <s v="Health and nutritional purposes, source of income, Windbreaker"/>
        <s v="Health and nutritional purposes, Source of income, soil erosion control"/>
        <s v="Source of income, health and nutritional purposes, controls soil erosion"/>
        <s v="Health and nutritional purposes,  income generation, Fallen leaves improves soil fertility"/>
        <s v="Fruits, source of income, soil erosion control"/>
        <s v="Drought tolerant, Good for timber, Shade"/>
        <s v="Fruits , Income generation"/>
        <s v="Timber, windbreaker, soil erosion control"/>
        <s v="Medicinal uses, Good for shade and windbreak, Tolerant to drought"/>
        <s v="Medicinal, Provides firewood and charcoal, Shade and cooling"/>
        <s v="Strong timber, Toralates high hash conditions , Used for Fuelwood and medicine"/>
        <s v="Health and nutritional purposes, source of income, control Soil erosion"/>
        <s v="Fodder, source of income, Used for Fuelwood"/>
        <s v="Income generation, Fruits, Medicinal"/>
        <s v="Timber, Shade , Firewood"/>
        <s v="Medicinal, shade , windbreaker"/>
        <s v="Shade, Timber, windbreaker"/>
        <s v="Drought tolerant, Timber, windbreaker"/>
        <s v="Drought tolerant, Medicinal, Good for shade and windbreak"/>
        <s v="Good for shade, Medicinal,Drought tolerant, Hard timber"/>
        <s v="Hardy wood, Drought tolerant"/>
        <s v="Medicinal Purposes, Hard wood, Good for shade"/>
        <s v="Medicinal Purposes, resistance to pests, tolerant to drought"/>
        <s v="Medicinal Purposes, tolerant to drought, Fast growing"/>
        <s v="Drought tolerant, Good for shade, Hard wood"/>
        <s v="Hardy timber, Drought tolerant, fast growing"/>
        <s v="Fruits, income generation"/>
        <s v="Drought tolerant, shade, windbreaker"/>
        <s v="Fast growing, For medicinal purposes,Provides firewood and charcoal"/>
        <s v="Medicinal Purposes, Good for shade and windbreak, drought tolerant, Fast growing"/>
        <s v="Medicinal, good for shade"/>
        <s v="Require little water, high growth rate, Highly nutritional"/>
        <s v="Fast growing, drought tolerant, pests tolerant"/>
        <s v="Nutritional and Health benefits, income generation, fast growing"/>
        <s v="Drought tolerant, Not attacked by pests, valuable timber"/>
        <s v="Drought tolerant, hardy timber, pests resistance"/>
        <s v="Fast growing, Good for shade and windbreak, Tolerates harsh drought conditions"/>
        <s v="Drought tolerant, Good for shade and Fuelwood, Hard timber"/>
        <s v="Hard timber, Fast growing, tolerates harsh dry conditions"/>
        <s v="Hardy timber, drought tolerant, resistance to pests"/>
        <s v="Drought tolerant, pests resistance, Hardy timber"/>
        <s v="Source of income, Fodder, Fuelwood, Shade, Windbreaker"/>
        <s v="Fast growing, Medicinal, drought tolerant"/>
      </sharedItems>
    </cacheField>
    <cacheField name="3rd Choice tree species" numFmtId="0">
      <sharedItems count="15">
        <s v="Mango"/>
        <s v="Lemon"/>
        <s v="Acacia tortilis"/>
        <s v="Neem"/>
        <s v="Melia volkensii"/>
        <s v="Syzyphus mauritiana"/>
        <s v="Tamarindus indica"/>
        <s v="Moringa oleifera"/>
        <s v="Acacia meifera"/>
        <s v="Passion"/>
        <s v="Terminalia brownii"/>
        <s v="Senna siamea"/>
        <s v="Terminalia prunoides"/>
        <s v="Acacia melifera"/>
        <s v="Passion fruits"/>
      </sharedItems>
    </cacheField>
    <cacheField name="Reasons3" numFmtId="0">
      <sharedItems count="69">
        <s v="Source of income, For food, Fuelwood"/>
        <s v="Income generation, fruit, Nutritional uses, Health and medicinal uses."/>
        <s v="Fruits, Income generation, medicinal (Health uses)"/>
        <s v="Fodder, Erosion control, Income generation"/>
        <s v="Windbreaker, Timber, erosion control, For shade Fuelwood, medicinal"/>
        <s v="Income generation, For timber, Fuelwood, Erosion control, boundary marking"/>
        <s v="Timber, windbreaker, Soil erosion control"/>
        <s v="Fruit, Fuelwood, shade, soil erosion control , Health and nutritional purposes"/>
        <s v="For shade, Windbreaker, Medicinal Purposes"/>
        <s v="For timber, Fooder, For shade"/>
        <s v="Income generation, soil erosion control, medicinal"/>
        <s v="Medicinal, windbreaker, Fooder"/>
        <s v="It's excellent for fencing"/>
        <s v="For timber, Income generation, windbreaker, Firewood"/>
        <s v="Source of income, Fuelwood, Fooder"/>
        <s v="Fruit, For income generation, soil erosion control"/>
        <s v="Timber, income generation, Fuelwood, shade"/>
        <s v="For shade, Medicinal purposes, Timber, windbreaker"/>
        <s v="Good for shade and windbreak, Medicinal,Very hardy tolerant to drought"/>
        <s v="For medicinal purposes, For shade, timber and poles"/>
        <s v="Income generation, Soil erosion control, Fast growing in dry area, Requires very little water"/>
        <s v="Good for Fence, Firewood and charcoal, soil erosion control"/>
        <s v="Health and nutritional purposes, soil erosion control, Fallen leaves decompose and Improves soil fertility"/>
        <s v="For fruits, For income generation, Soil erosion control"/>
        <s v="Windbreaker, used for shade,  timber and Fuelwood"/>
        <s v="Does not require a lot water, leaves are Medicinal, Soil erosion control"/>
        <s v="Drought tolerant, source of income, extremely hard timber"/>
        <s v="Drought tolerant, Hardy timber, windbreaker"/>
        <s v="Drought tolerant, Hardy timber, source of income"/>
        <s v="Fruits, income generation, controls soil erosion"/>
        <s v="Used for timber , Acts as Windbreaker, Reduce temperatures around home"/>
        <s v="Fruits, source of income, control soil erosion"/>
        <s v="Fruits , income generation"/>
        <s v="Medicinal, Fuelwood, Shade"/>
        <s v="Health and nutritional purposes, income generation, controls soil erosion"/>
        <s v="Takes short time to mature,  used  for shade, Used as fooder"/>
        <s v="Drought tolerant, Good for shade and windbreak"/>
        <s v="Hard timber, used for Fuelwood and shade , acts as windbreaker"/>
        <s v="Good for fence, Used for Fuelwood"/>
        <s v="Income generation, Medicinal, Fruit"/>
        <s v="Drought tolerant, windbreaker, Timber"/>
        <s v="Good for fence, Fuelwood and Timber , soil erosion control"/>
        <s v="Health and nutritional purposes, control soil erosion, Fuelwood"/>
        <s v="Leaves are used for food and medicinal, Soil erosion control"/>
        <s v="Leaves used as food , medicinal, control soil erosion"/>
        <s v="Source of income, Health and nutritional purposes"/>
        <s v="Medicinal Purposes, Good for shade , Hard timber"/>
        <s v="Source of income, Shade, Fuelwood"/>
        <s v="Provides firewood and charcoal,Animal fodder, Extremely drought tolerant"/>
        <s v="Health and nutritional purposes, income generation"/>
        <s v="Hardy wood, Drought tolerant,  Good for shade"/>
        <s v="For fodder, high growth rate, Used for Fuelwood"/>
        <s v="Health and nutritional purposes"/>
        <s v="Medicinal, hard timber, drought tolerant"/>
        <s v="For nutritional purposes, Income generation"/>
        <s v="High value timber, Not attacked by pests, fast growing"/>
        <s v="Fodder, Fuelwood, Soil erosion control"/>
        <s v="Hardy timber, Drought tolerant, pests tolerant"/>
        <s v="Extremely drought tolerant, Good for soil improvement, Animal fodder"/>
        <s v="Require little water, highly nutritional, fast growing"/>
        <s v="Nutritional and Health benefits, income generation"/>
        <s v="Fast growing, Require little water, good for shade and firewood."/>
        <s v="Survives in extremely dry conditions, medicinal uses, Good for Fuelwood and Timber"/>
        <s v="For fodder, Fast growing, require little water,"/>
        <s v="Income generation, nutritional purposes,"/>
        <s v="Fruits, For shade, Fuelwood"/>
        <s v="Good for shade and windbreak, fast growing,"/>
        <s v="Fooder, Timber and poles, Windbreaker, Erosion control, Income generation"/>
        <s v="Fruits, income generation"/>
      </sharedItems>
    </cacheField>
    <cacheField name="4th Choice tree species" numFmtId="0">
      <sharedItems count="16">
        <s v="Lemon"/>
        <s v="Neem"/>
        <s v="Mango"/>
        <s v="Acacia meifera"/>
        <s v="Avocado"/>
        <s v="Melia volkensii"/>
        <s v="Senna simea"/>
        <s v="Acacia mellifera"/>
        <s v="Terminalia brownii"/>
        <s v="Senna siamea"/>
        <s v="Acacia tortilis"/>
        <s v="Moringa oleifera"/>
        <s v="Tamarindus indica"/>
        <s v="Grevillea robusta"/>
        <s v="Papaya"/>
        <s v="Dalbergia melanoxyon"/>
      </sharedItems>
    </cacheField>
    <cacheField name="Reasons4" numFmtId="0">
      <sharedItems count="67">
        <s v="Source of income, medicinal, Environmental benefits"/>
        <s v="Medicinal, shade, Erosion control"/>
        <s v="Income generation, Fruit, Fuelwood, Shade"/>
        <s v="For shed, Erosion control, Medicinal purposes"/>
        <s v="Income generation, Fruits, It's medicinal,Household uses,Fuelwood"/>
        <s v="Firewood, Fencing, improves biodiversity, animal feed and fooder"/>
        <s v="Health and nutritional uses, For income generation, Fruits"/>
        <s v="Health and nutritional purposes, Soil erosion control, Fuelwood"/>
        <s v="Timber, Income generation, Fuewood"/>
        <s v="For shade, Fooder, Windbreaker"/>
        <s v="For shade, Medicinal, Windbreaker"/>
        <s v="Health and nutritional purposes, income generation, soil erosion control"/>
        <s v="A thorny tree with sweet-smelling flowers."/>
        <s v="Timber, Fuelwood, Shade"/>
        <s v="Health and nutritional purposes, Fruit, source of income"/>
        <s v="Fuelwood, For shade, Windbreaker"/>
        <s v="Medicinal, shade, Fuelwood, Environmental reasons"/>
        <s v="Fodder, For shade, Fuelwood"/>
        <s v="Strong durable timber, used for poles, Fuelwood and medicine"/>
        <s v="Extremely drought tolerant, Provides fuelwood and timber ,Good for soil improvement"/>
        <s v="Drought tolerant, Very hardy timber, Good for shade and windbreak"/>
        <s v="For fruits, income generation, Erosion control"/>
        <s v="Leaves used for food and medicine,Requires little water, Fast growing in dry areas"/>
        <s v="Used for fruits,  Source of income , Health and nutritional purposes"/>
        <s v="Drought tolerant, acts as windbreaker, Medicinal uses"/>
        <s v="For shade, For timber,"/>
        <s v="Drought tolerant, medicinal, Hardy timber"/>
        <s v="Drought tolerant, Medicinal, Fuelwood and timber"/>
        <s v="Medicinal Purposes, shade , windbreaker"/>
        <s v="Leaves are used as food, Medicinal, Soil erosion control"/>
        <s v="Fodder, For shade , Acts as windbreaker"/>
        <s v="Timber, windbreaker, shade and cooling"/>
        <s v="Leaves used as food and medicinal purposes,"/>
        <s v="Medicinal, Used for Fuelwood and shade, Durable timber"/>
        <s v="Leaves are used as food and medicine, Controls soil erosion, Requires little water"/>
        <s v="Leaves are used as food , Medicinal , Require little rainfall"/>
        <s v="Medicinal, Timber and Fuelwood, shade"/>
        <s v="Medicinal,"/>
        <s v="Hardy wood, shade, income generation"/>
        <s v="Fodder, Firewood, Shade"/>
        <s v="Fooder, soil erosion control, Fuelwood"/>
        <s v="Medicinal, Timber, Fuelwood, Shade"/>
        <s v="Fruits, Shade , Timber and Fuelwood"/>
        <s v="Fruits, income generation, Fuelwood and shade"/>
        <s v="Medicinal, Drought tolerant, Hard timber"/>
        <s v="Medicinal purposes, Good for shade, Hard wood."/>
        <s v="Source of income, Fruits, Nutritional purposes"/>
        <s v="Good for agroforestry, Fast growing ,"/>
        <s v="For medicinal purposes, tolerant to drought, Hardy wood"/>
        <s v="Medicinal, Drought tolerant, Hard wood"/>
        <s v="Nutritional purposes,Source of income, high growth rate"/>
        <s v="Hard timber, Shade,  Windbreaker"/>
        <s v="Income generation, Health and nutritional purposes, soil erosion control"/>
        <s v="Hard timber, Firewood and charcoal, Medicinal Purposes, drought tolerant, Good for shade"/>
        <s v="Extremely drought tolerant, good for soil improvement, Fodder,"/>
        <s v="Fruits, income generation, shade"/>
        <s v="Fast growing, Medicinal Purposes, Good for shade and windbreak"/>
        <s v="Hard timber, drought tolerant, For income generation"/>
        <s v="Health and nutritional purposes, Income generation, Fast growing"/>
        <s v="Fast growing, Require little water, Good for shade, For fodder"/>
        <s v="Hardy wood, income generation"/>
        <s v="Health and nutritional benefits, For income generation, Improves soil fertility (fallen decomposed leaves)"/>
        <s v="Health and nutritional benefits, For income generation"/>
        <s v="Leaves are used as Animal fodder, Good for shade and Fuelwood, Fast growing"/>
        <s v="Good for shade, Animal fodder, Fast growing"/>
        <s v="Fruit, source of income, Health and nutritional purposes, soil erosion control"/>
        <s v="Fodder, Good for shade,"/>
      </sharedItems>
    </cacheField>
    <cacheField name="5th Choice tree species" numFmtId="0">
      <sharedItems count="18">
        <s v="Neem"/>
        <s v="Acacia tortilis"/>
        <s v="Tamarindus indica"/>
        <s v="Lemon"/>
        <s v="Avocado"/>
        <s v="Moringa oleifera"/>
        <s v="Terminalia brownii"/>
        <s v="Senna siamea"/>
        <s v="Acacia meifera"/>
        <s v="Croton megalocarpus"/>
        <s v="Moringa"/>
        <s v="Mango"/>
        <s v="Cashew nuts"/>
        <s v="Temarindus indica"/>
        <s v="Acacia melifera"/>
        <s v="Passion fruits"/>
        <s v="Dalbergia melanoxyon"/>
        <s v="Passion fruit"/>
      </sharedItems>
    </cacheField>
    <cacheField name="Reasons5" numFmtId="0">
      <sharedItems count="69">
        <s v="Medicinal, For shed, Environmental reasons"/>
        <s v="Fodder, Erosion control, Timber and poles, Soil conservation"/>
        <s v="Medicinal, Fruit, Fuelwood, Shade"/>
        <s v="Fruits, Income generation, Health and medicinal purposes"/>
        <s v="For income generation, Food, Health benefits , For shade, their roots help with soil stability"/>
        <s v="It medicinal, leaves can be used as fooder"/>
        <s v="Shed, medicinal, windbreaker"/>
        <s v="Medicinal, For shade, Fuelwood, Environmental reasons"/>
        <s v="Fooder, For shade, Windbreaker"/>
        <s v="Medicinal, source of income, Soil erosion control"/>
        <s v="For fruits, For shade, Fuelwood"/>
        <s v="For shade, windbreaker, soil erosion control"/>
        <s v="multipurpose exotic tree planted for fuel, shade, and fodder"/>
        <s v="Fruit, Health and nutritional purposes, Income generation"/>
        <s v="Medicinal, For shade , Windbreaker"/>
        <s v="Beeforage, Fooder, fuelwood"/>
        <s v="Income generation, Health and nutritional purposes, soil erosion control"/>
        <s v="Fruits, For shade, Fuelwood"/>
        <s v="For fence, Fuelwood, Soil erosion control"/>
        <s v="For fruits, Shade, Fuelwood"/>
        <s v="For fruits, For shade, Drought tolerant, windbreaker"/>
        <s v="Fast growing in dry areas, leaves used as food and medicine,Requires very little water"/>
        <s v="Fodder, For shade,"/>
        <s v="Good for shade, used for Fuelwood, soil erosion control"/>
        <s v="Extremely drought tolerant, Provides firewood and charcoal,Good for soil improvement"/>
        <s v="Good for fence, Controls soil erosion,"/>
        <s v="Medicinal, source of income, For shade"/>
        <s v="Fuelwood, For shade , Fruits,"/>
        <s v="Fooder, For shade,Firewood"/>
        <s v="Takes short time to mature, windbreaker, income generation , Used fuelwood"/>
        <s v="Fruits, Fuelwood, For shade"/>
        <s v="Fruits , Timber and Fuelwood, Used for shade"/>
        <s v="For shade, Takes short time to attain maturity, source of income"/>
        <s v="Good for fodder, windbreaker, shade"/>
        <s v="Medicinal, Leaves are used as food, Requires little water"/>
        <s v="Takes short time to mature, Used for firewood and charcoal"/>
        <s v="Source of income, Health and nutritional purposes"/>
        <s v="Fruits, Nutritional purposes,  Shade"/>
        <s v="Health and nutritional purposes, source of income, Fuelwood"/>
        <s v="Income generation, medicinal, Fruits"/>
        <s v="Health and nutritional purposes, income generation"/>
        <s v="Fruits , Good for shade , Fuelwood"/>
        <s v="Health and nutritional purposes, Firewood , control soil erosion"/>
        <s v="For fruits, income generation, soil erosion control"/>
        <s v="Medicinal, Tolerates harsh conditions,Good for Fuelwood and Timber, Shade ,"/>
        <s v="Good for fence , For Fuelwood"/>
        <s v="Medicinal Purposes, Fruits, Income generation"/>
        <s v="For fodder, For shade, Fuelwood"/>
        <s v="Fruits , income generation"/>
        <s v="High nutritional value, require very  little water, Fast growing in dry areas"/>
        <s v="Hardy wood, Good for shade"/>
        <s v="Medicinal, Drought resistance, Hard timberf"/>
        <s v="Medicinal, Soil erosion control"/>
        <s v="Health and nutritional purposes, control soil erosion, Fallen leaves decomposes to improve soil fertility"/>
        <s v="Fast growth rate, For nutritional purposes, Income generation"/>
        <s v="Highly nutritional values, Require very little water, High growth rate"/>
        <s v="Fooder, Good for fence, Soil erosion"/>
        <s v="Hardy wood, Fuelwood and shade, Drought tolerant"/>
        <s v="Good for shade and Fuelwood (hard wood) , Medicinal Purposes"/>
        <s v="Good for shade and windbreak, drought tolerant, Not attacked by pests"/>
        <s v="Drought tolerant, good for shade and Fuelwood, tolerates harsh dry conditions"/>
        <s v="Income generation , Health and nutritional benefits"/>
        <s v="Highly nutritional, Require little water, Fast growing in dryland"/>
        <s v="Medicinal Purposes, Drought tolerant,  Good for shade and Fuelwood"/>
        <s v="Good for fencing"/>
        <s v="Fruits, fast growing, Require little water"/>
        <s v="Good for fence"/>
        <s v="Fodder, Fuelwood, Shade, Windbreaker, Timber and poles"/>
        <s v="Fruits, income generation"/>
      </sharedItems>
    </cacheField>
    <cacheField name="Give five (5) least preferred tree species and reasons for each." numFmtId="0">
      <sharedItems count="46">
        <s v="Croton megalocarpus, Avocado, Dalbergia melanoxyon, Moringa Oleifera, Passion fruit"/>
        <s v="Terminalia brownii, Moringa oleifera, Croton megalocarpus,Passion fruit, Avocado"/>
        <s v="Croton megalocarpus, Balanites aegyptica, Moringa oleifera, Terminalia brownii, Acacia tortilis"/>
        <s v="Terminalia brownii, Dalbergia melanoxyon,Pytex payos, Croton megalocarpus Cobretum brownii"/>
        <s v="Pytex payos, Acacia Meifera, Balanites aegyptica, acacia Senegal , acacia seyal"/>
        <s v="Acacia tortilis, Baobab, Terminalia brownii ,"/>
        <s v="Baobab, Pytex payos, acacia nilotica, Acacia Meifera, Croton megalocarpus"/>
        <s v="Avocado, Baobab, Senna siamea, combretum brownii, Balanites aegyptica"/>
        <s v="Baobab, Acacia tortilis, Balanites aegyptica, Melia Azedarach, Cobretum brownii"/>
        <s v="Baobab, croton megalocarpus, Acacia meifera, Terminalia brownii, Acacia tortilis"/>
        <s v="Baobab, Balanites aegyptica,"/>
        <s v="Acacia meifera, Acacia tortilis, Croton megalocarpus, Baobab, Cobretum brownii"/>
        <s v="Prosopis chilensis, Erybotrya japonica, Sterculia African, Calistemon species, Certain indigenous Acacia species (e.g., Acacia mellifera)"/>
        <s v="Baobab, Balanites aegyptica, Vytex payos, Combretum brownii, croton megalocarpus"/>
        <s v="Baobab, Croton megalocarpus, Balanites aegyptica, Acacia nilotica, Senna siamea"/>
        <s v="Balanites aegyptica, acacia nilotica, Senna abbreviata, Baobab, Acacia meifera"/>
        <s v="Baobab, Acacia tortilis, Balanites aegyptica, senna siamea, Acacia meifera"/>
        <s v="Baobab, Balanites aegyptica, Cobretum brownii, Pytex payos, Acacia tortilis"/>
        <s v="Baobab, Cobretum brownii"/>
        <s v="Cobretum brownii, Acacia meifera, Avocado,"/>
        <s v="Acacia meifera, Baobab, Cobretum brownii, croton megalocarpus,"/>
        <s v="Acacia tortilis, Baobab, lemon,"/>
        <s v="Baobab, Acacia tortilis,"/>
        <s v="Baobab, Combretum brownii, Acacia tortilis"/>
        <s v="Baobab"/>
        <s v="Acacia tortilis, Baobab"/>
        <s v="Balanites aegyptica, Baobab, senna abbreviata, Acacia nilotica,"/>
        <s v="Baobab, Acacia tortilis, Acacia nilotica, croton megalocarpus, Balanites aegyptica"/>
        <s v="Acacia nilotica, Acacia tortilis, Acacia melifera, baobab"/>
        <s v="Croton megalocarpus,Dalbergia melanoxyon, Combretum brownii,"/>
        <s v="All Acacia species"/>
        <s v="Acacia tortilis, Baobab, Acacia nilotica, Acacia elatior"/>
        <s v="All Acacia species , Baobab"/>
        <s v="Baobab, Acacia nilotica, Acacia tortilis senna abbreviata"/>
        <s v="Baobab, All Acacia species"/>
        <s v="Baobab,"/>
        <s v="Acacia tortilis, Senna abbreviata, senna siamea, Baobab, Tamarindus indica"/>
        <s v="Baobab, Theivetia Perivera"/>
        <s v="Baobabs"/>
        <s v="Dalbergia melanoxyon, baobab"/>
        <s v="Baobab, croton megalocarpus, Theivetia Perivera"/>
        <s v="All Acacia species ,baobab"/>
        <s v="Acacia species"/>
        <s v="Baobab , Acacia species"/>
        <s v="Acacia species, baobab"/>
        <s v="Terminalia brownii, Balanites aegyptica, Dalbergia melanoxyon, Melia volkensii, Acacia nilotica"/>
      </sharedItems>
    </cacheField>
    <cacheField name="Reasons6" numFmtId="0">
      <sharedItems count="58">
        <s v="Water scarcity, Diseases invasions, low demand, Unfavorable climate,"/>
        <s v="Takes many years to mature,Termites attack, Not very drought tolerant when young, Low economic returns, Performs poorly in low rainfall"/>
        <s v="Slow early growth, cannot withstand strong drought,Not good for homesteads,Low financial returns,Has thorns or hard to manage"/>
        <s v="Low immediate economic returns, Extremely slow-growing, Low demand in markets compared to other fruit or timber species, Not drought-tolerant at seedling stage,"/>
        <s v="Takes long to mature, low returns,"/>
        <s v="Already planted enough ,"/>
        <s v="Low income returns,  Takes long to mature,"/>
        <s v="Avocado it's not drought tolerant, Baobab grows huge and shade crops Balanites aegyptica has thorns therefore makes it difficult to handle, Combretum brownii -limited knowledge about it's uses"/>
        <s v="Low growth rate,  Grows huge and shade crops, Low direct benefits"/>
        <s v="Baobab- Grows huge shading crop, Croton megalocarpus -Not drought tolerant at seedling stageAcacia melifera-Makes land dry, Terminalia brown-Planted plenty of them, Acacia tortilis - Low direct benefits"/>
        <s v="Takes long to mature, limited income returns, Grows huge shading crops,"/>
        <s v="Low returns benefits, poor awareness of uses,slow growth, Completion with crops"/>
        <s v="These were found to be among the least adopted non-commercial tree species in studies in Makueni County. Their low adoption is primarily attributed to their low commercial and non-commercial uses perceived by the farmers."/>
        <s v="Extremely slow growing, Slow growth rate, limited know uses,Not drought tolerant at seedling stage, can grow tall and shade crops affecting intercrops in farms, low direct benefits"/>
        <s v="Extremely slow growing, Not drought tolerant at seedling stage, Limited  economic returns, Poor awareness of the uses, Produces a lot of leaves and litter confirmed messy around homesteads"/>
        <s v="It's thorny, Takes long to mature, low direct benefits, It can grow tall and shade trees"/>
        <s v="Slow growth compared to other dryland species,Low economic returns, Thorny"/>
        <s v="Limited economic returns, Poor awareness of uses, Slow growth,Has thorns making it difficult to handle"/>
        <s v="Limited income returns, Takes long to mature, Competition with crops"/>
        <s v="Avocado not drought tolerant, unknown benefits,"/>
        <s v="Limited economic returns, competition with crops,"/>
        <s v="Grow huge and shade crops, Attack by Pests and diseases, Not drought tolerant"/>
        <s v="Grows huge and shaded crops, takes long to mature, limited economic returns"/>
        <s v="Limited income returns, Competition with crops, Take long to mature"/>
        <s v="Takes long to mature , grows huge shading crops,"/>
        <s v="Grows huge and shades crops, Competition with crops, limited returns"/>
        <s v="Takes long to mature, self invasive"/>
        <s v="Grows huge and shades crops, limited returns"/>
        <s v="Limited returns, thorny, Grows huge shading crops"/>
        <s v="Limited economic returns"/>
        <s v="Not drought tolerant at seedling stage, Extremely slow growth, Limited known uses."/>
        <s v="Limited income returns, Takes long to mature"/>
        <s v="Slow growing, limited income returns"/>
        <s v="Maturity period is long, Grows huge shading crops"/>
        <s v="Grows huge shading crops,Extremely slow growth rate,"/>
        <s v="Extremely slow growth rate, grows huge shading crops"/>
        <s v="Slow growth rate"/>
        <s v="Limited economic returns, Grows huge shading crops"/>
        <s v="Grows huge shading crops , Extremely slow growth rate, limited economic returns"/>
        <s v="Baobab Grows huge shading crops, Extremely slow growth rate, limited economic returns"/>
        <s v="Limited economic returns,"/>
        <s v="Long maturity level, limited returns"/>
        <s v="Extremely slow growth rate"/>
        <s v="Extreme slow growth rate"/>
        <s v="Grows huge shading crop, slow growth rate"/>
        <s v="Limited economic returns s"/>
        <s v="Extreme slow growth rate, Not good for agroforestry f"/>
        <s v="Grows huge shading crops, limited economic returns"/>
        <s v="Grows huge shading crops"/>
        <s v="Slow growth rate, limited economic returns"/>
        <s v="Not good for agroforestry, Slow growth rate"/>
        <s v="Grows huge shading crops therefore not good for agroforestry"/>
        <s v="Grows huge shading crops (not good for agroforestry)"/>
        <s v="Not good for agroforestry"/>
        <s v="Limited economic returns, Not good for agroforestry"/>
        <s v="Limited economic returns, slow growth rate"/>
        <s v="Grow huge shading crops"/>
        <s v="Maturity period is long, Attracts pests, low direct benefits,"/>
      </sharedItems>
    </cacheField>
    <cacheField name="SECTION E: Timing and Preferences" numFmtId="0">
      <sharedItems containsNonDate="0" containsString="0" containsBlank="1"/>
    </cacheField>
    <cacheField name="Which period of the year do you prefer to receive or plant seedlings?" numFmtId="0">
      <sharedItems containsBlank="1" count="2">
        <s v="October-November rains (short rains)"/>
        <m/>
      </sharedItems>
    </cacheField>
    <cacheField name="Specify, other7" numFmtId="0">
      <sharedItems containsNonDate="0" containsString="0" containsBlank="1"/>
    </cacheField>
    <cacheField name="How do you prefer seedlings to be distributed?" numFmtId="0">
      <sharedItems/>
    </cacheField>
    <cacheField name="Group distribution" numFmtId="0">
      <sharedItems containsSemiMixedTypes="0" containsString="0" containsNumber="1" containsInteger="1" minValue="0" maxValue="1" count="2">
        <n v="1"/>
        <n v="0"/>
      </sharedItems>
    </cacheField>
    <cacheField name="Individual pickup" numFmtId="0">
      <sharedItems containsSemiMixedTypes="0" containsString="0" containsNumber="1" containsInteger="1" minValue="0" maxValue="1" count="2">
        <n v="0"/>
        <n v="1"/>
      </sharedItems>
    </cacheField>
    <cacheField name="Through local leaders" numFmtId="0">
      <sharedItems containsSemiMixedTypes="0" containsString="0" containsNumber="1" containsInteger="1" minValue="0" maxValue="1" count="2">
        <n v="0"/>
        <n v="1"/>
      </sharedItems>
    </cacheField>
    <cacheField name="Through school/youth groups" numFmtId="0">
      <sharedItems containsSemiMixedTypes="0" containsString="0" containsNumber="1" containsInteger="1" minValue="0" maxValue="1" count="2">
        <n v="0"/>
        <n v="1"/>
      </sharedItems>
    </cacheField>
    <cacheField name="Other4" numFmtId="0">
      <sharedItems containsSemiMixedTypes="0" containsString="0" containsNumber="1" containsInteger="1" minValue="0" maxValue="0" count="1">
        <n v="0"/>
      </sharedItems>
    </cacheField>
    <cacheField name="SECTION F: Uses/ Potential benefits" numFmtId="0">
      <sharedItems containsNonDate="0" containsString="0" containsBlank="1"/>
    </cacheField>
    <cacheField name="What are the benefits you get from planted trees?" numFmtId="0">
      <sharedItems count="69">
        <s v="Income generation, Medicinal, Food, Shelter, Erosion control, windbreak"/>
        <s v="Environmental reason"/>
        <s v="Source of income, Fruits, control soil erosion, windbreaker, Shade, For Medicinal purposes, Beautification"/>
        <s v="Income generation, Fruits, Ecological benefits, Environmental benefits, Social benefits"/>
        <s v="Climate change resilience , Agricultural benefits, Nutritional benefits, Health benefits, Environmental benefits"/>
        <s v="Beautification, Erosion control, source of income, For shed, Fuelwood"/>
        <s v="Controls soil erosion, Beautification, Windbreaker, For income generation,"/>
        <s v="Source of income, soil erosion control, Some trees are medicinal, Fruits"/>
        <s v="Source of income, soil erosion control, Fruits, Medicinal, For shade, Fodder, Beautification"/>
        <s v="Income generation, Soil erosion control, Fuelwood, Beautification,"/>
        <s v="Soil erosion control, For shade , Fruits, source of income, medicinal,"/>
        <s v="Timber, source of income, Health and nutritional benefits,controls soil erosion"/>
        <s v="Shade, fruits"/>
        <s v="Income generation,"/>
        <s v="Timber, Fuel wood, Income generation, soil erosion control, For shade, For Fruits, Some are medicinal"/>
        <s v="Shade, Timber, income generation, Environmental benefits"/>
        <s v="Shade, Soil erosion control, Timber, Source of income, Nutritional and Health benefits"/>
        <s v="Timber, Environmental purposes, source of income"/>
        <s v="Improves soil fertility, Reduce Soil erosion, Increase rainfall and humidity, Provides windbreak, Income generation, For fruits"/>
        <s v="Fuelwood, Timber, Income generation, windbreaker, Fruits, Some are Medicinal, beautify the environment,Improves mental well-being -Green spaces reduce stress"/>
        <s v="Soil erosion control, Shade and cooling,beautify the environment , Reduce noise(act as natural noise barriers,"/>
        <s v="Soil erosion control, acts as windbreaker,Improves soil  fertility"/>
        <s v="Improves soil fertility, Acts as windbreaker, Controls soil erosion,"/>
        <s v="For shade, Timber, source of income,Fruits, Some are Medicinal, control Soil erosion,Fuelwood"/>
        <s v="Health and nutritional purposes, Shade and cooling,Beautify the environment,  Income generation, For timber, Improves soil fertility"/>
        <s v="Improves soil fertility, For medicinal purposes, Income generation, Controls soil erosion, Health and nutritional purposes"/>
        <s v="Shade, income generation, Timber , Fuelwood, Soil erosion control, Windbreaker"/>
        <s v="Income generation, Reduce soil erosion, Improves soil fertility, Increase rainfall, Acts as windbreaker"/>
        <s v="Beautification, improves soil fertility,Acts as sound natural barriers, Increase rainfall, Timber, Fuelwood, Income generation, Health and nutritional purposes"/>
        <s v="Shade and cooling , Reduce noise,Beautify the environment , Increase land value , Fruits, For timber, income generation, Medicinal"/>
        <s v="Income generation,  For shade,Reduces soil erosion ,Beautification , Windbreaker,Improves soil fertility"/>
        <s v="Improves soil fertility, income generation,"/>
        <s v="Fruits, income generation, Shade, Windbreaker, income generation, Shade, soil  erosion control, Timber"/>
        <s v="Income generation, control soil erosion, Health and nutritional purposes,beautify the environment ,Fallen leaves improves soil fertility"/>
        <s v="For shade,  soil erosion control, income generation, Fuelwood, Fruits, trees acts as natural sound barriers, reduce temperatures around homes"/>
        <s v="Shade , Fuelwood, improves soil fertility, income generation, Fruits"/>
        <s v="Reduce soil erosion, Timber and Fuelwood, Shade and cooling, Fruits"/>
        <s v="Timber and shade, Income generation, Fruits , soil erosion control, Improves soil fertility, Noise control"/>
        <s v="Controls soil erosion, Timber and poles, Fuelwood and shade, Fruits"/>
        <s v="Soil erosion control, Fruits , shade, Timber, income generation"/>
        <s v="Improves soil fertility, soil fertility, Timber, windbreaker,"/>
        <s v="Soil erosion control, Controls noise ,"/>
        <s v="Soil erosion control, Fruits, For shade , Timber , Income generation"/>
        <s v="Shade, Fuelwood and Timber , income"/>
        <s v="Fruits , income generation, Shade and windbreak, soil erosion control, Fuelwood and Timber"/>
        <s v="Fruits, Shade,  Fuelwood, Soil erosion control, Trees controls noise,"/>
        <s v="Timber, Fruits, Soil erosion control, Fuelwood"/>
        <s v="Fruits, For shade, Fodder, Fuelwood, soil erosion control, Improves soil fertility"/>
        <s v="Fruits, income generation, Fuelwood, shade, Improves soil fertility, control soil erosion"/>
        <s v="Income generation, Shade, soil erosion control, Health and nutritional purposes, Timber, Fuelwood 8"/>
        <s v="Fruits, Timber, source of income, Shade"/>
        <s v="Soil erosion control, Fruits, Timber, Income generation, Noise control"/>
        <s v="Fruits, source of income, Some are medicinal, Shade, Fuelwood, Timber"/>
        <s v="Income generation, windbreaker, Fruits, Control soil erosion"/>
        <s v="Fruits, Timber, Fuelwood, improves soil fertility, soil erosion control"/>
        <s v="Nutritional values, Timber, Fuelwood, Poles and posts, soil erosion control,"/>
        <s v="Soil erosion control,  Timber and poles , Fruits, Acts as noise control,"/>
        <s v="Fruits, Timber, Poles and posts, Shade, Fuelwood, source of income, Noise control, improves soil fertility, soil erosion control"/>
        <s v="Fruits, Shade, Fuelwood, windbreak, improves soil fertility, poles and posts, income generation"/>
        <s v="Fruits, Timber, Poles, Shade, Source of income, soil erosion control, Soil fertility improvement"/>
        <s v="Fruits, Source of income, Posts and poles, Soil erosion control, Fuelwood, control noise"/>
        <s v="Income generation, Fuelwood, timber, poles and posts, Shade, Windbreaker, soil erosion control, noise control"/>
        <s v="Income generation, Shade, Fruits, Timber, Poles and posts, Fuelwood, soil erosion control"/>
        <s v="Soil erosion control, fruits, Timber , Posts and poles, Medicinal Purposes"/>
        <s v="Fruits, shade, Timber, income generation Fuelwood"/>
        <s v="Shade and cooling , Beautification, green environment reduces stress, Fruits, Income generation, windbreaker, Timber, poles and postsk"/>
        <s v="Fruits  , Timber, Shade, Fodder, Fuelwood,"/>
        <s v="Income generation, Timber and poles, Fooder, Fuelwood, Erosion control"/>
        <s v="Timber, shade, Fodder, Fruits, income generation"/>
      </sharedItems>
    </cacheField>
    <cacheField name="Give the most locally desired species by the community" numFmtId="0">
      <sharedItems count="60">
        <s v="Mangoes, Pawpaw, Melia volkensii, Cashew nuts,Pomegranate,Acacia tortilis , Moringa oleifera, Croton megalocarpus, Balanites aegyptica"/>
        <s v="Melia volkensii"/>
        <s v="Melia volkensii, Senna siamea, Mango, lemon"/>
        <s v="Melia volkensii, pomagranate, Cashew nuts, Mango"/>
        <s v="Melia volkensii, pomagranate, cashew nuts , Mangoes, Lemons"/>
        <s v="Melia volkensii, mango, lemon, Cashew nuts, pomagranate , Avocado,"/>
        <s v="Mango, Lemon, Avocado, Acacia tortilis,"/>
        <s v="Melia volkensii, Mangoes, Lemon"/>
        <s v="Mango, lemon, Melia volkensii, Neem"/>
        <s v="Melia volkensii, Neem, Mango, Lemon"/>
        <s v="Mango, Neem, Melia volkensii, Lemon"/>
        <s v="Neem, Melia volkensii, lemon, Mango"/>
        <s v="Melia volkensii, lemon, Mango, Avocado, Neem"/>
        <s v="Melia volkensii, Lemon, Mango, Neem, Tamarindus indica"/>
        <s v="Terminalia brownii, Melia volkensii, Neem, Senna siamea, Mango, Lemon, Avocado"/>
        <s v="Neem, Melia volkensii, lemon, Mango, Senna siamea (Improved), Guavas, Passion Fruit, Cashew nuts"/>
        <s v="Neem, lemon, Mango, Cashew nuts"/>
        <s v="Neem, Melia volkensii, Mango"/>
        <s v="Melia volkensii, Neem, Mango, Dalbergia melanoxyon"/>
        <s v="Mango, Melia volkensii, Neem"/>
        <s v="Melia volkensii, Neem, Moringa oleifera, Mango"/>
        <s v="Melia volkensii,"/>
        <s v="Neem, Melia volkensii, Mango, Lemon"/>
        <s v="Neem, senna siamea, Tamarindus indica, Melia volkensii, Mango, Lemon"/>
        <s v="Mango, lemon , Melia volkensii, Neem"/>
        <s v="Melia volkensii, Terminalia brownii ⁰⁰"/>
        <s v="Melia volkensii, Neem, Mango, Pawpaw"/>
        <s v="Melia volkensii, Neem, Mango, Lucena lueca . 88"/>
        <s v="Dalbergia melanoxyon, Melia volkensii, terminalia brownii, Neem, Acacia melifera, Mango, Avocado, Passion fruits"/>
        <s v="Melia volkensii, Neem, Terminalia brownii"/>
        <s v="Melia volkensii, Neem , Mango, Tamarindus indica, Acacia melifera"/>
        <s v="Neem, Melia volkensii"/>
        <s v="Melia volkensii, Neem , Terminalia brownii, 1"/>
        <s v="Mango, Lemon, Terminalia prunoides, Terminalia brownii, Neem, Acacia tortilis"/>
        <s v="Melia volkensii, Neem, Acacia tortilis, dxx444"/>
        <s v="Mango, Lemon, Avocado,"/>
        <s v="Melia volkensii, Neem, senna siamea, Melia Azedarach"/>
        <s v="Melia volkensii, Neem, Mango"/>
        <s v="Melia volkensii, Neem, Senna siamea"/>
        <s v="Neem, Melia volkensii, Mango,"/>
        <s v="Melia volkensii, Neem,senna siamea"/>
        <s v="Neem, Melia volkensii, Mango, Terminalia brownii"/>
        <s v="Neem, Melia volkensii, terminalia brownii, Mango, Senna siamea"/>
        <s v="Melia volkensii, Neem , Mango"/>
        <s v="Neem, Mango, Melia volkensii, Terminalia brownii"/>
        <s v="Melia volkensii, Neem, senna siamea, Terminalia brownii, Terminalia prunoides"/>
        <s v="Melia volkensii, Neem , Terminalia brownii,"/>
        <s v="Neem, Melia volkensii, terminalia brownii, Senna siamea"/>
        <s v="Neem, Melia volkensii, Mango, Terminalia brownii , Dalbergia melanoxyon"/>
        <s v="Melia volkensii, Neem"/>
        <s v="Neem, Mango, Melia volkensii, terminalia brownii Senna siamea, Acacia meifera"/>
        <s v="Melia volkensii, Neem, mango, Terminalia brownii, Senna siamea"/>
        <s v="Mango, Melia volkensii, Neem, senna siamea, Terminalia brownii, Tamarindus indica"/>
        <s v="Melia volkensii, Neem, senna siamea, Mango"/>
        <s v="Neem, Melia volkensii, Mango, Terminalia brownii, Senna siamea"/>
        <s v="Neem, Melia volkensii, terminalia brownii, senna siamea, Mango,"/>
        <s v="Mango , Acacia melifera, Neem , Melia volkensii"/>
        <s v="Neem, Melia volkensii, senna siamea, Terminalia brownii, Mango"/>
        <s v="Neem, Mango, Melia volkensii, senna siamea"/>
        <s v="Lemon, Mango, passion fruits, pawpaw, Avocado, Guavas, Pomagranate, Tamarindus indica"/>
      </sharedItems>
    </cacheField>
    <cacheField name="What challenges do you face in growing trees?" numFmtId="0">
      <sharedItems count="66">
        <s v="Water scarcity, Termites invasions, diseases , low market price for fruits, Insufficient funds"/>
        <s v="Water scarcity, financial challenge,"/>
        <s v="Financial challenges, water scarcity, Attack by Pests, Diseases"/>
        <s v="Financial challenges, Water scarcity, pests and diseases"/>
        <s v="Financial challenges, Pest and diseases, Water scarcity"/>
        <s v="Water scarcity, pests and diseases,"/>
        <s v="Water scarcity, pests and diseases,  Thieves"/>
        <s v="Water scarcity, pests(termites) financial challenges, lack of the seedlings."/>
        <s v="Water scarcity, pack of the seedlings, pests (termites"/>
        <s v="Lack of the seedlings, water scarcity, Pests(Termites)"/>
        <s v="Pests(termites), water scarcity, lack of the seedlings 11"/>
        <s v="Water scarcity, Pests(Termites), financial challenges"/>
        <s v="Lack of water during dry season"/>
        <s v="Water scarcity, pests and diseases"/>
        <s v="Water scarcity,  pests ( termites) lack of the seedlings"/>
        <s v="Water scarcity, Pests(termites) , Invasions by animals, lack of the seedlings, Destruction of people"/>
        <s v="Water scarcity, Lack of the seedlings, Financial challenges, Lack of knowledge"/>
        <s v="Water scarcity, pests(termites), lack of the seedlings, Financial challenges"/>
        <s v="Water scarcity, Attack by Pests and diseases, Unreliable rainfall, harsh weather conditions"/>
        <s v="Water scarcity, pests and diseases attack , Lack of the seedlings,"/>
        <s v="Pests and diseases , water scarcity, lack of seedlings, unreliable rainfall"/>
        <s v="Pests and diseases, Water scarcity, Extreme weather lack of the seedlings"/>
        <s v="Lack of the seedlings"/>
        <s v="Water scarcity, attack by Pests and diseases, lack of the seedlings"/>
        <s v="Water scarcity, Lack of seedlings, Attack by Pests and diseases,Animal browsing"/>
        <s v="Attack by Pests , water scarcity, Lack of seedlings,"/>
        <s v="Water scarcity, pests, Animal destruction"/>
        <s v="Pests , Water scarcity"/>
        <s v="Water scarcity , attack by termites s"/>
        <s v="Water scarcity, attack by pests"/>
        <s v="Low and reliable rainfall, Scarcity and high cost of water, Browsing of livestock, Termites damage"/>
        <s v="Pests and diseases  , high temperature leading to fast water loss, Browsing by livestock, 00,0"/>
        <s v="Water scarcity, high temperatures which leads fast water loss"/>
        <s v="Water scarcity, Pests attacks and termites, low and unreliable rainfall"/>
        <s v="Water scarcity, low and unreliable rainfall, pests"/>
        <s v="Harsh climate conditions, water scarcity, attack by termites,"/>
        <s v="Livestock browsing, Unreliable rainfall, water scarcity, termites"/>
        <s v="Water scarcity, Extreme harsh weather conditions, Termites"/>
        <s v="Harsh weather conditions, water scarcity, unreliable rainfall"/>
        <s v="Unreliable rainfall, water scarcity, harsh weather conditions"/>
        <s v="Harsh weather conditions, water scarcity, termites"/>
        <s v="Unreliable rainfall, Termites, Animal damage, Extreme weather conditions"/>
        <s v="Water scarcity, Termites damage , high temperature leading to fast water loss"/>
        <s v="Unreliable rainfall, attack by pests, Water scarcity"/>
        <s v="Water scarcity , limited knowledge, Limited financial resources, Termites damage to younger seedlings"/>
        <s v="Water scarcity, Termites attack young seedlings, high temperature lead to high rate  loss of water"/>
        <s v="High temperature leading to fast water loss, water scarcity, limited knowledge on tree management, unreliable rainfall"/>
        <s v="Water scarcity, unreliable rainfall, Extreme harsh weather condition(Drought )"/>
        <s v="Water scarcity, unreliable rainfall"/>
        <s v="Unreliable rainfall, Termites, Extreme harsh weather conditions (Drought), Water scarcity"/>
        <s v="Unreliable rainfall, Water scarcity"/>
        <s v="Pests , Extreme weather conditions (droughts), Water scarcity"/>
        <s v="Unreliable rainfall, water scarcity, limited financial resources, Pests"/>
        <s v="Unreliable rainfall, water scarcity, young seedlings attack by termites"/>
        <s v="Termites, Water Scarcity, limited knowledge on seedlings management"/>
        <s v="Water scarcity, Unreliable rainfall, Termites damage to younger seedlings"/>
        <s v="Termites attack the young seedlings, unreliable rainfall, water scarcity"/>
        <s v="Water scarcity, unreliable rainfall, Termites attack young seedlings"/>
        <s v="Water scarcity, unreliable rainfall, High temperature leading to high water loss"/>
        <s v="Water scarcity, unreliable rainfall, termites attack Young seedlings, high temperature leading to fast water loss."/>
        <s v="Water scarcity, Termites attack to the young, High temperature leading to fast water loss."/>
        <s v="Water scarcity, high temperatures, limited financial resources, limited knowledge on tree management"/>
        <s v="Water Scarcity, unreliable rainfall, Termites"/>
        <s v="Water scarcity, Unreliable rainfall,"/>
        <s v="Water scarcity, unreliable rainfall, high temperature leading to fast water loss"/>
        <s v="Pests (termites), Water scarcity,  Lack of the seedlings"/>
      </sharedItems>
    </cacheField>
    <cacheField name="_id" numFmtId="0">
      <sharedItems containsSemiMixedTypes="0" containsString="0" containsNumber="1" containsInteger="1" minValue="613408128" maxValue="634193356"/>
    </cacheField>
    <cacheField name="Column10" numFmtId="0">
      <sharedItems/>
    </cacheField>
    <cacheField name="_submission_time" numFmtId="164">
      <sharedItems containsSemiMixedTypes="0" containsNonDate="0" containsDate="1" containsString="0" minDate="2025-11-24T08:31:36" maxDate="2025-12-19T16:29:14"/>
    </cacheField>
    <cacheField name="_validation_status" numFmtId="0">
      <sharedItems containsNonDate="0" containsString="0" containsBlank="1"/>
    </cacheField>
    <cacheField name="_notes" numFmtId="0">
      <sharedItems containsNonDate="0" containsString="0" containsBlank="1"/>
    </cacheField>
    <cacheField name="_status" numFmtId="0">
      <sharedItems/>
    </cacheField>
    <cacheField name="_submitted_by" numFmtId="0">
      <sharedItems containsNonDate="0" containsString="0" containsBlank="1"/>
    </cacheField>
    <cacheField name="__version__" numFmtId="0">
      <sharedItems/>
    </cacheField>
    <cacheField name="_tags" numFmtId="0">
      <sharedItems containsNonDate="0" containsString="0" containsBlank="1"/>
    </cacheField>
    <cacheField name="meta/rootUuid" numFmtId="0">
      <sharedItems/>
    </cacheField>
    <cacheField name="_index" numFmtId="0">
      <sharedItems containsSemiMixedTypes="0" containsString="0" containsNumber="1" containsInteger="1" minValue="7" maxValue="8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71.521173726855" createdVersion="8" refreshedVersion="8" minRefreshableVersion="3" recordCount="29" xr:uid="{F5C991A6-EDEC-460A-8ECD-97C55FACB59A}">
  <cacheSource type="worksheet">
    <worksheetSource name="Table2"/>
  </cacheSource>
  <cacheFields count="2">
    <cacheField name="Seed Species" numFmtId="0">
      <sharedItems count="29">
        <s v="Mango"/>
        <s v="Neem (Azadirachta indica)"/>
        <s v="Melia Volkensii"/>
        <s v="Senna siamea "/>
        <s v="Tamarindus indica (Tamarind)"/>
        <s v="Passion fruit"/>
        <s v="Terminalia brownii"/>
        <s v="Moringa oleifera"/>
        <s v="Dalbergia melanoxylon"/>
        <s v="Lemon tree"/>
        <s v="croton megalocarpus"/>
        <s v="Acacia tortilis"/>
        <s v="Acacia melifera"/>
        <s v="Avocado"/>
        <s v="Senna abbreviata"/>
        <s v="Melia azederach"/>
        <s v="Delonix regia"/>
        <s v="Balanites aegyptiaca"/>
        <s v="Indian osyris"/>
        <s v="Acacia seyal"/>
        <s v="Olea africana"/>
        <s v="Acacia nilotica"/>
        <s v="Acacia senegal"/>
        <s v="Acacia elata"/>
        <s v="Combretum brownii"/>
        <s v="Vitex payos"/>
        <s v="Baobab (Adonsonia digitata)"/>
        <s v="Bambusa vulgaris (Bamboo)"/>
        <s v="Acacia xanthophloea "/>
      </sharedItems>
    </cacheField>
    <cacheField name="Selection" numFmtId="0">
      <sharedItems containsSemiMixedTypes="0" containsString="0" containsNumber="1" containsInteger="1" minValue="0" maxValue="6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74.676248148149" createdVersion="8" refreshedVersion="8" minRefreshableVersion="3" recordCount="4" xr:uid="{F7D5CC10-F750-4A0C-8870-F3E01E0CEA6C}">
  <cacheSource type="worksheet">
    <worksheetSource ref="A1:B5" sheet="Seed Distribution"/>
  </cacheSource>
  <cacheFields count="2">
    <cacheField name="Selection" numFmtId="0">
      <sharedItems count="4">
        <s v="Group distribution"/>
        <s v="Individual pickup"/>
        <s v="Through local leaders"/>
        <s v="Through school/youth groups"/>
      </sharedItems>
    </cacheField>
    <cacheField name="Frequency" numFmtId="0">
      <sharedItems containsSemiMixedTypes="0" containsString="0" containsNumber="1" containsInteger="1" minValue="2" maxValue="5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d v="2025-11-24T09:27:20"/>
    <d v="2025-11-24T11:31:34"/>
    <m/>
    <m/>
    <m/>
    <s v="Yes, I agree"/>
    <m/>
    <s v="Faith Kyengo"/>
    <d v="2025-11-24T00:00:00"/>
    <s v="Nguumo"/>
    <s v="-2.350297 37.883618 984.8 5.300000190734863"/>
    <x v="0"/>
    <x v="0"/>
    <x v="0"/>
    <n v="5.3000001907348633"/>
    <m/>
    <s v="Mary Kiseso"/>
    <x v="0"/>
    <x v="0"/>
    <m/>
    <n v="3"/>
    <n v="3"/>
    <n v="721870876"/>
    <x v="0"/>
    <x v="0"/>
    <m/>
    <x v="0"/>
    <x v="0"/>
    <x v="0"/>
    <x v="0"/>
    <x v="0"/>
    <x v="0"/>
    <x v="0"/>
    <x v="0"/>
    <m/>
    <x v="0"/>
    <x v="0"/>
    <x v="0"/>
    <x v="0"/>
    <x v="0"/>
    <m/>
    <s v="KEFRI Local nursery"/>
    <n v="1"/>
    <n v="0"/>
    <n v="1"/>
    <n v="0"/>
    <n v="0"/>
    <n v="0"/>
    <m/>
    <s v="Shade Timber Fruits Boundary marking Environmental reasons (erosion control, windbreak, etc)"/>
    <x v="0"/>
    <x v="0"/>
    <x v="0"/>
    <x v="0"/>
    <x v="0"/>
    <x v="0"/>
    <x v="0"/>
    <x v="0"/>
    <n v="0"/>
    <m/>
    <m/>
    <s v="Melia Volkensii Neem (Azadirachta indica) Acacia tortilis Dalbergia melanoxylon croton megalocarpus Mango Avocado Moringa oleifera Passion fruit Lemon tree"/>
    <x v="0"/>
    <x v="0"/>
    <x v="0"/>
    <x v="0"/>
    <x v="0"/>
    <x v="0"/>
    <x v="0"/>
    <x v="0"/>
    <x v="0"/>
    <x v="0"/>
    <x v="0"/>
    <x v="0"/>
    <x v="0"/>
    <x v="0"/>
    <x v="0"/>
    <x v="0"/>
    <x v="0"/>
    <x v="0"/>
    <x v="0"/>
    <x v="0"/>
    <x v="0"/>
    <x v="0"/>
    <x v="0"/>
    <x v="0"/>
    <x v="0"/>
    <x v="0"/>
    <x v="0"/>
    <x v="0"/>
    <x v="0"/>
    <m/>
    <x v="0"/>
    <x v="0"/>
    <x v="0"/>
    <x v="0"/>
    <x v="0"/>
    <x v="0"/>
    <x v="0"/>
    <x v="0"/>
    <x v="0"/>
    <x v="0"/>
    <x v="0"/>
    <x v="0"/>
    <m/>
    <x v="0"/>
    <m/>
    <s v="Group distribution"/>
    <x v="0"/>
    <x v="0"/>
    <x v="0"/>
    <x v="0"/>
    <x v="0"/>
    <m/>
    <x v="0"/>
    <x v="0"/>
    <x v="0"/>
    <n v="613408128"/>
    <s v="3f9123cc-5b8c-4903-9f13-c8efd4f3d73a"/>
    <d v="2025-11-24T08:31:36"/>
    <m/>
    <m/>
    <s v="submitted_via_web"/>
    <m/>
    <s v="vJPceuhERXDBSEb667dJra"/>
    <m/>
    <s v="uuid:3f9123cc-5b8c-4903-9f13-c8efd4f3d73a"/>
    <n v="7"/>
  </r>
  <r>
    <d v="2025-11-24T11:31:34"/>
    <d v="2025-11-24T13:42:42"/>
    <m/>
    <m/>
    <m/>
    <s v="Yes, I agree"/>
    <m/>
    <s v="Faith Kyengo"/>
    <d v="2025-11-24T00:00:00"/>
    <s v="Nguumo"/>
    <s v="-2.350282 37.883525 1014.3 5.099999904632568"/>
    <x v="1"/>
    <x v="1"/>
    <x v="1"/>
    <n v="5.0999999046325684"/>
    <m/>
    <s v="Emmah Kituku"/>
    <x v="0"/>
    <x v="0"/>
    <m/>
    <n v="2"/>
    <n v="2"/>
    <n v="725563521"/>
    <x v="0"/>
    <x v="0"/>
    <m/>
    <x v="0"/>
    <x v="0"/>
    <x v="0"/>
    <x v="0"/>
    <x v="0"/>
    <x v="0"/>
    <x v="0"/>
    <x v="1"/>
    <s v="Livestock keeping  Horticulture  Crop farming "/>
    <x v="1"/>
    <x v="1"/>
    <x v="1"/>
    <x v="1"/>
    <x v="1"/>
    <m/>
    <s v="Self-raised"/>
    <n v="0"/>
    <n v="0"/>
    <n v="0"/>
    <n v="0"/>
    <n v="1"/>
    <n v="0"/>
    <m/>
    <s v="Shade Timber Fodder Fruits Fuelwood Boundary marking Income generation Environmental reasons (erosion control, windbreak, etc)"/>
    <x v="0"/>
    <x v="0"/>
    <x v="1"/>
    <x v="0"/>
    <x v="1"/>
    <x v="0"/>
    <x v="1"/>
    <x v="0"/>
    <n v="0"/>
    <m/>
    <m/>
    <s v="Melia Volkensii Neem (Azadirachta indica) Acacia tortilis croton megalocarpus Mango Avocado Terminalia brownii Moringa oleifera Passion fruit Lemon tree"/>
    <x v="0"/>
    <x v="0"/>
    <x v="0"/>
    <x v="0"/>
    <x v="0"/>
    <x v="0"/>
    <x v="0"/>
    <x v="0"/>
    <x v="0"/>
    <x v="0"/>
    <x v="0"/>
    <x v="0"/>
    <x v="1"/>
    <x v="0"/>
    <x v="0"/>
    <x v="0"/>
    <x v="0"/>
    <x v="0"/>
    <x v="0"/>
    <x v="0"/>
    <x v="0"/>
    <x v="0"/>
    <x v="1"/>
    <x v="0"/>
    <x v="0"/>
    <x v="0"/>
    <x v="0"/>
    <x v="0"/>
    <x v="0"/>
    <m/>
    <x v="0"/>
    <x v="1"/>
    <x v="1"/>
    <x v="1"/>
    <x v="1"/>
    <x v="1"/>
    <x v="1"/>
    <x v="1"/>
    <x v="1"/>
    <x v="1"/>
    <x v="1"/>
    <x v="1"/>
    <m/>
    <x v="0"/>
    <m/>
    <s v="Group distribution"/>
    <x v="0"/>
    <x v="0"/>
    <x v="0"/>
    <x v="0"/>
    <x v="0"/>
    <m/>
    <x v="1"/>
    <x v="1"/>
    <x v="1"/>
    <n v="613546446"/>
    <s v="4ef7d2e3-6251-4521-9572-b3930b81ca4a"/>
    <d v="2025-11-24T10:42:44"/>
    <m/>
    <m/>
    <s v="submitted_via_web"/>
    <m/>
    <s v="vJPceuhERXDBSEb667dJra"/>
    <m/>
    <s v="uuid:4ef7d2e3-6251-4521-9572-b3930b81ca4a"/>
    <n v="8"/>
  </r>
  <r>
    <d v="2025-11-24T13:42:42"/>
    <d v="2025-11-24T15:48:40"/>
    <m/>
    <m/>
    <m/>
    <s v="Yes, I agree"/>
    <m/>
    <s v="Faith Kyengo"/>
    <d v="2025-11-24T00:00:00"/>
    <s v="Nguumo"/>
    <s v="-2.352675 37.883418 995.7 3.0999999046325684"/>
    <x v="2"/>
    <x v="2"/>
    <x v="2"/>
    <n v="3.0999999046325679"/>
    <m/>
    <s v="Nancy Kitung'a"/>
    <x v="0"/>
    <x v="1"/>
    <m/>
    <n v="4"/>
    <n v="2"/>
    <n v="721582251"/>
    <x v="0"/>
    <x v="0"/>
    <m/>
    <x v="0"/>
    <x v="0"/>
    <x v="0"/>
    <x v="0"/>
    <x v="0"/>
    <x v="0"/>
    <x v="0"/>
    <x v="1"/>
    <s v="Livestock keeping  Horticulture  Crop farming "/>
    <x v="1"/>
    <x v="1"/>
    <x v="1"/>
    <x v="1"/>
    <x v="1"/>
    <m/>
    <s v="KEFRI Self-raised"/>
    <n v="1"/>
    <n v="0"/>
    <n v="0"/>
    <n v="0"/>
    <n v="1"/>
    <n v="0"/>
    <m/>
    <s v="Shade Timber Fodder Fruits Fuelwood Boundary marking Income generation Environmental reasons (erosion control, windbreak, etc) Other"/>
    <x v="0"/>
    <x v="0"/>
    <x v="1"/>
    <x v="0"/>
    <x v="1"/>
    <x v="0"/>
    <x v="1"/>
    <x v="0"/>
    <n v="1"/>
    <s v="Beatification"/>
    <m/>
    <s v="Tamarindus indica (Tamarind) Melia Volkensii Neem (Azadirachta indica) Acacia tortilis croton megalocarpus Mango Balanites aegyptiaca Terminalia brownii Moringa oleifera Lemon tree"/>
    <x v="1"/>
    <x v="0"/>
    <x v="0"/>
    <x v="0"/>
    <x v="0"/>
    <x v="0"/>
    <x v="0"/>
    <x v="0"/>
    <x v="0"/>
    <x v="0"/>
    <x v="0"/>
    <x v="0"/>
    <x v="1"/>
    <x v="0"/>
    <x v="0"/>
    <x v="0"/>
    <x v="0"/>
    <x v="0"/>
    <x v="0"/>
    <x v="1"/>
    <x v="0"/>
    <x v="1"/>
    <x v="1"/>
    <x v="0"/>
    <x v="0"/>
    <x v="0"/>
    <x v="1"/>
    <x v="0"/>
    <x v="0"/>
    <m/>
    <x v="1"/>
    <x v="2"/>
    <x v="2"/>
    <x v="2"/>
    <x v="1"/>
    <x v="2"/>
    <x v="2"/>
    <x v="2"/>
    <x v="2"/>
    <x v="2"/>
    <x v="2"/>
    <x v="2"/>
    <m/>
    <x v="0"/>
    <m/>
    <s v="Group distribution"/>
    <x v="0"/>
    <x v="0"/>
    <x v="0"/>
    <x v="0"/>
    <x v="0"/>
    <m/>
    <x v="2"/>
    <x v="2"/>
    <x v="2"/>
    <n v="613666256"/>
    <s v="de22aa8a-9353-4f7a-a131-701f3009ee2e"/>
    <d v="2025-11-24T12:48:42"/>
    <m/>
    <m/>
    <s v="submitted_via_web"/>
    <m/>
    <s v="vJPceuhERXDBSEb667dJra"/>
    <m/>
    <s v="uuid:de22aa8a-9353-4f7a-a131-701f3009ee2e"/>
    <n v="9"/>
  </r>
  <r>
    <d v="2025-11-24T15:48:41"/>
    <d v="2025-11-25T13:27:12"/>
    <m/>
    <m/>
    <m/>
    <s v="Yes, I agree"/>
    <m/>
    <s v="Faith Kyengo"/>
    <d v="2025-11-25T00:00:00"/>
    <s v="Muuni"/>
    <s v="-2.365034 37.892175 0 600"/>
    <x v="3"/>
    <x v="3"/>
    <x v="3"/>
    <n v="600"/>
    <m/>
    <s v="Lydia Ndinda Paul"/>
    <x v="0"/>
    <x v="1"/>
    <m/>
    <n v="4"/>
    <n v="1"/>
    <n v="724354292"/>
    <x v="1"/>
    <x v="0"/>
    <m/>
    <x v="1"/>
    <x v="1"/>
    <x v="1"/>
    <x v="1"/>
    <x v="1"/>
    <x v="1"/>
    <x v="1"/>
    <x v="1"/>
    <s v="Livestock keeping  Grass planting  Horticulture  Crop farming  Bee keeping "/>
    <x v="1"/>
    <x v="2"/>
    <x v="1"/>
    <x v="1"/>
    <x v="2"/>
    <n v="5"/>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tortilis Mango Avocado Indian osyris Passion fruit Lemon tree"/>
    <x v="1"/>
    <x v="0"/>
    <x v="0"/>
    <x v="0"/>
    <x v="1"/>
    <x v="0"/>
    <x v="0"/>
    <x v="0"/>
    <x v="0"/>
    <x v="0"/>
    <x v="0"/>
    <x v="0"/>
    <x v="1"/>
    <x v="0"/>
    <x v="1"/>
    <x v="0"/>
    <x v="0"/>
    <x v="0"/>
    <x v="0"/>
    <x v="0"/>
    <x v="1"/>
    <x v="0"/>
    <x v="0"/>
    <x v="1"/>
    <x v="0"/>
    <x v="0"/>
    <x v="0"/>
    <x v="0"/>
    <x v="0"/>
    <m/>
    <x v="0"/>
    <x v="3"/>
    <x v="1"/>
    <x v="3"/>
    <x v="2"/>
    <x v="3"/>
    <x v="1"/>
    <x v="3"/>
    <x v="3"/>
    <x v="3"/>
    <x v="3"/>
    <x v="3"/>
    <m/>
    <x v="0"/>
    <m/>
    <s v="Group distribution"/>
    <x v="0"/>
    <x v="0"/>
    <x v="0"/>
    <x v="0"/>
    <x v="0"/>
    <m/>
    <x v="3"/>
    <x v="3"/>
    <x v="3"/>
    <n v="614426653"/>
    <s v="d10fbd19-eb11-45fd-8463-f6693d496457"/>
    <d v="2025-11-25T10:27:14"/>
    <m/>
    <m/>
    <s v="submitted_via_web"/>
    <m/>
    <s v="vJPceuhERXDBSEb667dJra"/>
    <m/>
    <s v="uuid:d10fbd19-eb11-45fd-8463-f6693d496457"/>
    <n v="10"/>
  </r>
  <r>
    <d v="2025-11-25T13:27:12"/>
    <d v="2025-11-25T16:03:50"/>
    <m/>
    <m/>
    <m/>
    <s v="Yes, I agree"/>
    <m/>
    <s v="Faith Kyengo"/>
    <d v="2025-11-25T00:00:00"/>
    <s v="Siembeni village"/>
    <s v="-2.345615 37.886552 997.2 5.699999809265137"/>
    <x v="4"/>
    <x v="4"/>
    <x v="4"/>
    <n v="5.6999998092651367"/>
    <m/>
    <s v="Raphael Mutua"/>
    <x v="1"/>
    <x v="2"/>
    <m/>
    <n v="4"/>
    <n v="3"/>
    <n v="721511016"/>
    <x v="2"/>
    <x v="0"/>
    <m/>
    <x v="2"/>
    <x v="0"/>
    <x v="1"/>
    <x v="1"/>
    <x v="1"/>
    <x v="1"/>
    <x v="1"/>
    <x v="1"/>
    <s v="Livestock keeping  Grass planting  Horticulture  Crop farming "/>
    <x v="1"/>
    <x v="2"/>
    <x v="1"/>
    <x v="1"/>
    <x v="1"/>
    <n v="5"/>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Dalbergia melanoxylon croton megalocarpus Mango Avocado Indian osyris Passion fruit Lemon tree"/>
    <x v="1"/>
    <x v="0"/>
    <x v="0"/>
    <x v="0"/>
    <x v="0"/>
    <x v="0"/>
    <x v="1"/>
    <x v="0"/>
    <x v="0"/>
    <x v="0"/>
    <x v="0"/>
    <x v="0"/>
    <x v="0"/>
    <x v="0"/>
    <x v="0"/>
    <x v="0"/>
    <x v="0"/>
    <x v="0"/>
    <x v="0"/>
    <x v="0"/>
    <x v="1"/>
    <x v="0"/>
    <x v="0"/>
    <x v="1"/>
    <x v="0"/>
    <x v="0"/>
    <x v="0"/>
    <x v="0"/>
    <x v="0"/>
    <m/>
    <x v="0"/>
    <x v="4"/>
    <x v="1"/>
    <x v="4"/>
    <x v="3"/>
    <x v="4"/>
    <x v="0"/>
    <x v="4"/>
    <x v="4"/>
    <x v="4"/>
    <x v="4"/>
    <x v="4"/>
    <m/>
    <x v="0"/>
    <m/>
    <s v="Group distribution"/>
    <x v="0"/>
    <x v="0"/>
    <x v="0"/>
    <x v="0"/>
    <x v="0"/>
    <m/>
    <x v="4"/>
    <x v="4"/>
    <x v="4"/>
    <n v="614584979"/>
    <s v="62fcdc7d-c50c-4fd5-a943-031e21ca896e"/>
    <d v="2025-11-25T13:03:51"/>
    <m/>
    <m/>
    <s v="submitted_via_web"/>
    <m/>
    <s v="vJPceuhERXDBSEb667dJra"/>
    <m/>
    <s v="uuid:62fcdc7d-c50c-4fd5-a943-031e21ca896e"/>
    <n v="11"/>
  </r>
  <r>
    <d v="2025-11-25T16:03:50"/>
    <d v="2025-11-25T16:35:00"/>
    <m/>
    <m/>
    <m/>
    <s v="Yes, I agree"/>
    <m/>
    <s v="Faith Kyengo"/>
    <d v="2025-11-25T00:00:00"/>
    <s v="Kyuusyani"/>
    <s v="-2.340072 37.87712 983.2 4.800000190734863"/>
    <x v="5"/>
    <x v="5"/>
    <x v="5"/>
    <n v="4.8000001907348633"/>
    <m/>
    <s v="Benedict Mutiso"/>
    <x v="1"/>
    <x v="3"/>
    <m/>
    <n v="3"/>
    <n v="1"/>
    <n v="722483835"/>
    <x v="1"/>
    <x v="0"/>
    <m/>
    <x v="3"/>
    <x v="0"/>
    <x v="0"/>
    <x v="1"/>
    <x v="1"/>
    <x v="1"/>
    <x v="1"/>
    <x v="1"/>
    <s v="Horticulture  Crop farming "/>
    <x v="2"/>
    <x v="1"/>
    <x v="1"/>
    <x v="1"/>
    <x v="1"/>
    <n v="7"/>
    <s v="KEFRI Local nursery"/>
    <n v="1"/>
    <n v="0"/>
    <n v="1"/>
    <n v="0"/>
    <n v="0"/>
    <n v="0"/>
    <m/>
    <s v="Shade Timber Fodder Fruits Fuelwood Boundary marking Income generation Environmental reasons (erosion control, windbreak, etc)"/>
    <x v="0"/>
    <x v="0"/>
    <x v="1"/>
    <x v="0"/>
    <x v="1"/>
    <x v="0"/>
    <x v="1"/>
    <x v="0"/>
    <n v="0"/>
    <m/>
    <m/>
    <s v="Melia Volkensii Neem (Azadirachta indica) Senna abbreviata Acacia seyal Dalbergia melanoxylon Delonix regia Mango Moringa oleifera Passion fruit Lemon tree"/>
    <x v="0"/>
    <x v="0"/>
    <x v="0"/>
    <x v="0"/>
    <x v="0"/>
    <x v="1"/>
    <x v="1"/>
    <x v="0"/>
    <x v="0"/>
    <x v="1"/>
    <x v="0"/>
    <x v="0"/>
    <x v="0"/>
    <x v="1"/>
    <x v="1"/>
    <x v="0"/>
    <x v="0"/>
    <x v="0"/>
    <x v="0"/>
    <x v="1"/>
    <x v="0"/>
    <x v="0"/>
    <x v="0"/>
    <x v="0"/>
    <x v="0"/>
    <x v="0"/>
    <x v="0"/>
    <x v="0"/>
    <x v="0"/>
    <m/>
    <x v="2"/>
    <x v="5"/>
    <x v="3"/>
    <x v="5"/>
    <x v="4"/>
    <x v="5"/>
    <x v="3"/>
    <x v="5"/>
    <x v="5"/>
    <x v="5"/>
    <x v="5"/>
    <x v="5"/>
    <m/>
    <x v="0"/>
    <m/>
    <s v="Individual pickup"/>
    <x v="1"/>
    <x v="1"/>
    <x v="0"/>
    <x v="0"/>
    <x v="0"/>
    <m/>
    <x v="5"/>
    <x v="5"/>
    <x v="5"/>
    <n v="614617694"/>
    <s v="5625ea0e-cad1-40ca-a6f6-f4ed6fd7e7a2"/>
    <d v="2025-11-25T13:35:02"/>
    <m/>
    <m/>
    <s v="submitted_via_web"/>
    <m/>
    <s v="vJPceuhERXDBSEb667dJra"/>
    <m/>
    <s v="uuid:5625ea0e-cad1-40ca-a6f6-f4ed6fd7e7a2"/>
    <n v="12"/>
  </r>
  <r>
    <d v="2025-11-25T16:35:00"/>
    <d v="2025-11-26T11:35:26"/>
    <m/>
    <m/>
    <m/>
    <s v="Yes, I agree"/>
    <m/>
    <s v="Faith Kyengo"/>
    <d v="2025-11-26T00:00:00"/>
    <s v="Muuni"/>
    <s v="-2.340152 37.877755 1002.9000000000001 6"/>
    <x v="6"/>
    <x v="6"/>
    <x v="6"/>
    <n v="6"/>
    <m/>
    <s v="Sebastian Maundu"/>
    <x v="1"/>
    <x v="3"/>
    <m/>
    <n v="3"/>
    <n v="1"/>
    <n v="721319165"/>
    <x v="1"/>
    <x v="1"/>
    <m/>
    <x v="4"/>
    <x v="0"/>
    <x v="1"/>
    <x v="0"/>
    <x v="0"/>
    <x v="0"/>
    <x v="0"/>
    <x v="0"/>
    <m/>
    <x v="0"/>
    <x v="0"/>
    <x v="0"/>
    <x v="0"/>
    <x v="0"/>
    <m/>
    <s v="KEFRI Local nursery"/>
    <n v="1"/>
    <n v="0"/>
    <n v="1"/>
    <n v="0"/>
    <n v="0"/>
    <n v="0"/>
    <m/>
    <s v="Shade Timber Fodder Fruits Fuelwood Boundary marking Income generation Environmental reasons (erosion control, windbreak, etc)"/>
    <x v="0"/>
    <x v="0"/>
    <x v="1"/>
    <x v="0"/>
    <x v="1"/>
    <x v="0"/>
    <x v="1"/>
    <x v="0"/>
    <n v="0"/>
    <m/>
    <m/>
    <s v="Melia Volkensii Neem (Azadirachta indica) Acacia tortilis Dalbergia melanoxylon Delonix regia Mango Avocado Moringa oleifera Passion fruit Lemon tree"/>
    <x v="0"/>
    <x v="0"/>
    <x v="0"/>
    <x v="0"/>
    <x v="0"/>
    <x v="0"/>
    <x v="0"/>
    <x v="0"/>
    <x v="0"/>
    <x v="0"/>
    <x v="0"/>
    <x v="0"/>
    <x v="0"/>
    <x v="1"/>
    <x v="1"/>
    <x v="0"/>
    <x v="0"/>
    <x v="0"/>
    <x v="0"/>
    <x v="0"/>
    <x v="0"/>
    <x v="0"/>
    <x v="0"/>
    <x v="0"/>
    <x v="0"/>
    <x v="0"/>
    <x v="0"/>
    <x v="0"/>
    <x v="0"/>
    <m/>
    <x v="2"/>
    <x v="6"/>
    <x v="3"/>
    <x v="6"/>
    <x v="4"/>
    <x v="6"/>
    <x v="4"/>
    <x v="6"/>
    <x v="0"/>
    <x v="6"/>
    <x v="6"/>
    <x v="6"/>
    <m/>
    <x v="0"/>
    <m/>
    <s v="Individual pickup"/>
    <x v="1"/>
    <x v="1"/>
    <x v="0"/>
    <x v="0"/>
    <x v="0"/>
    <m/>
    <x v="6"/>
    <x v="6"/>
    <x v="6"/>
    <n v="615966478"/>
    <s v="13e66e70-5837-43d8-ad16-417a3fd2d454"/>
    <d v="2025-11-27T04:22:14"/>
    <m/>
    <m/>
    <s v="submitted_via_web"/>
    <m/>
    <s v="vJPceuhERXDBSEb667dJra"/>
    <m/>
    <s v="uuid:13e66e70-5837-43d8-ad16-417a3fd2d454"/>
    <n v="13"/>
  </r>
  <r>
    <d v="2025-11-27T14:02:51"/>
    <d v="2025-11-28T09:24:21"/>
    <m/>
    <m/>
    <m/>
    <s v="Yes, I agree"/>
    <m/>
    <s v="Faith Kyengo"/>
    <d v="2025-11-27T00:00:00"/>
    <s v="Muusini Village"/>
    <s v="-2.315942 37.854598 879.2 61.900001525878906"/>
    <x v="7"/>
    <x v="7"/>
    <x v="7"/>
    <n v="61.900001525878913"/>
    <m/>
    <s v="Felisters Mutungi"/>
    <x v="0"/>
    <x v="4"/>
    <m/>
    <n v="2"/>
    <n v="2"/>
    <n v="720915256"/>
    <x v="0"/>
    <x v="0"/>
    <m/>
    <x v="2"/>
    <x v="0"/>
    <x v="1"/>
    <x v="1"/>
    <x v="1"/>
    <x v="2"/>
    <x v="1"/>
    <x v="1"/>
    <s v="Livestock keeping  Grass planting  Crop farming "/>
    <x v="1"/>
    <x v="2"/>
    <x v="2"/>
    <x v="1"/>
    <x v="1"/>
    <n v="5"/>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tortilis Mango Avocado Terminalia brownii Olea africana Lemon tree"/>
    <x v="1"/>
    <x v="0"/>
    <x v="0"/>
    <x v="0"/>
    <x v="1"/>
    <x v="0"/>
    <x v="0"/>
    <x v="0"/>
    <x v="0"/>
    <x v="0"/>
    <x v="0"/>
    <x v="0"/>
    <x v="1"/>
    <x v="0"/>
    <x v="1"/>
    <x v="0"/>
    <x v="0"/>
    <x v="0"/>
    <x v="0"/>
    <x v="0"/>
    <x v="0"/>
    <x v="0"/>
    <x v="1"/>
    <x v="1"/>
    <x v="1"/>
    <x v="0"/>
    <x v="1"/>
    <x v="0"/>
    <x v="0"/>
    <m/>
    <x v="1"/>
    <x v="7"/>
    <x v="2"/>
    <x v="7"/>
    <x v="0"/>
    <x v="7"/>
    <x v="0"/>
    <x v="7"/>
    <x v="6"/>
    <x v="7"/>
    <x v="7"/>
    <x v="7"/>
    <m/>
    <x v="0"/>
    <m/>
    <s v="Through local leaders"/>
    <x v="1"/>
    <x v="0"/>
    <x v="1"/>
    <x v="0"/>
    <x v="0"/>
    <m/>
    <x v="7"/>
    <x v="7"/>
    <x v="7"/>
    <n v="616908785"/>
    <s v="6775ab7e-0398-487b-a7fe-298a2fd5ec73"/>
    <d v="2025-11-28T06:24:23"/>
    <m/>
    <m/>
    <s v="submitted_via_web"/>
    <m/>
    <s v="vJPceuhERXDBSEb667dJra"/>
    <m/>
    <s v="uuid:6775ab7e-0398-487b-a7fe-298a2fd5ec73"/>
    <n v="16"/>
  </r>
  <r>
    <d v="2025-11-28T09:24:35"/>
    <d v="2025-11-28T10:20:21"/>
    <m/>
    <m/>
    <m/>
    <s v="Yes, I agree"/>
    <m/>
    <s v="Faith Kyengo"/>
    <d v="2025-11-28T00:00:00"/>
    <s v="Muusini Village"/>
    <s v="-2.315992 37.85321 1005.3 10"/>
    <x v="8"/>
    <x v="8"/>
    <x v="8"/>
    <n v="10"/>
    <m/>
    <s v="Magdalene Musyoka"/>
    <x v="0"/>
    <x v="0"/>
    <m/>
    <n v="2"/>
    <n v="1"/>
    <n v="714742020"/>
    <x v="1"/>
    <x v="2"/>
    <m/>
    <x v="0"/>
    <x v="0"/>
    <x v="0"/>
    <x v="0"/>
    <x v="0"/>
    <x v="0"/>
    <x v="0"/>
    <x v="0"/>
    <m/>
    <x v="0"/>
    <x v="0"/>
    <x v="0"/>
    <x v="0"/>
    <x v="0"/>
    <m/>
    <s v="KEFRI"/>
    <n v="1"/>
    <n v="0"/>
    <n v="0"/>
    <n v="0"/>
    <n v="0"/>
    <n v="0"/>
    <m/>
    <s v="Shade Timber Fodder Fruits Fuelwood Boundary marking Income generation Environmental reasons (erosion control, windbreak, etc)"/>
    <x v="0"/>
    <x v="0"/>
    <x v="1"/>
    <x v="0"/>
    <x v="1"/>
    <x v="0"/>
    <x v="1"/>
    <x v="0"/>
    <n v="0"/>
    <m/>
    <m/>
    <s v="Tamarindus indica (Tamarind) Melia Volkensii Neem (Azadirachta indica) Senna siamea  Mango Terminalia brownii Moringa oleifera Passion fruit Lemon tree"/>
    <x v="1"/>
    <x v="0"/>
    <x v="0"/>
    <x v="0"/>
    <x v="1"/>
    <x v="0"/>
    <x v="1"/>
    <x v="0"/>
    <x v="0"/>
    <x v="0"/>
    <x v="0"/>
    <x v="0"/>
    <x v="1"/>
    <x v="0"/>
    <x v="1"/>
    <x v="0"/>
    <x v="0"/>
    <x v="0"/>
    <x v="0"/>
    <x v="1"/>
    <x v="0"/>
    <x v="0"/>
    <x v="1"/>
    <x v="0"/>
    <x v="0"/>
    <x v="0"/>
    <x v="0"/>
    <x v="0"/>
    <x v="0"/>
    <m/>
    <x v="3"/>
    <x v="8"/>
    <x v="1"/>
    <x v="8"/>
    <x v="3"/>
    <x v="8"/>
    <x v="5"/>
    <x v="8"/>
    <x v="7"/>
    <x v="8"/>
    <x v="8"/>
    <x v="8"/>
    <m/>
    <x v="0"/>
    <m/>
    <s v="Through local leaders"/>
    <x v="1"/>
    <x v="0"/>
    <x v="1"/>
    <x v="0"/>
    <x v="0"/>
    <m/>
    <x v="8"/>
    <x v="8"/>
    <x v="8"/>
    <n v="616943795"/>
    <s v="209b3857-ab40-4e3b-ba75-8d796fd695d0"/>
    <d v="2025-11-28T07:20:22"/>
    <m/>
    <m/>
    <s v="submitted_via_web"/>
    <m/>
    <s v="vJPceuhERXDBSEb667dJra"/>
    <m/>
    <s v="uuid:209b3857-ab40-4e3b-ba75-8d796fd695d0"/>
    <n v="18"/>
  </r>
  <r>
    <d v="2025-11-28T10:20:21"/>
    <d v="2025-11-28T10:58:32"/>
    <m/>
    <m/>
    <m/>
    <s v="Yes, I agree"/>
    <m/>
    <s v="Faith Kyengo"/>
    <d v="2025-11-28T00:00:00"/>
    <s v="Muangeni"/>
    <s v="-2.315378 37.851465 979.1 18"/>
    <x v="9"/>
    <x v="9"/>
    <x v="9"/>
    <n v="18"/>
    <m/>
    <s v="Mirrium Mulandi"/>
    <x v="0"/>
    <x v="1"/>
    <m/>
    <n v="2"/>
    <n v="2"/>
    <n v="717644080"/>
    <x v="1"/>
    <x v="1"/>
    <m/>
    <x v="5"/>
    <x v="0"/>
    <x v="0"/>
    <x v="1"/>
    <x v="0"/>
    <x v="0"/>
    <x v="0"/>
    <x v="1"/>
    <s v="Crop farming "/>
    <x v="2"/>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Senna abbreviata Mango Terminalia brownii Moringa oleifera Passion fruit Lemon tree"/>
    <x v="1"/>
    <x v="0"/>
    <x v="0"/>
    <x v="0"/>
    <x v="1"/>
    <x v="1"/>
    <x v="1"/>
    <x v="0"/>
    <x v="0"/>
    <x v="0"/>
    <x v="0"/>
    <x v="0"/>
    <x v="1"/>
    <x v="0"/>
    <x v="1"/>
    <x v="0"/>
    <x v="0"/>
    <x v="0"/>
    <x v="0"/>
    <x v="1"/>
    <x v="0"/>
    <x v="0"/>
    <x v="1"/>
    <x v="0"/>
    <x v="0"/>
    <x v="0"/>
    <x v="0"/>
    <x v="0"/>
    <x v="0"/>
    <m/>
    <x v="2"/>
    <x v="9"/>
    <x v="3"/>
    <x v="9"/>
    <x v="4"/>
    <x v="9"/>
    <x v="6"/>
    <x v="9"/>
    <x v="5"/>
    <x v="9"/>
    <x v="9"/>
    <x v="9"/>
    <m/>
    <x v="0"/>
    <m/>
    <s v="Through local leaders"/>
    <x v="1"/>
    <x v="0"/>
    <x v="1"/>
    <x v="0"/>
    <x v="0"/>
    <m/>
    <x v="9"/>
    <x v="9"/>
    <x v="9"/>
    <n v="616970347"/>
    <s v="ff9cc70b-e831-46bb-80b5-e17d267a8147"/>
    <d v="2025-11-28T07:58:35"/>
    <m/>
    <m/>
    <s v="submitted_via_web"/>
    <m/>
    <s v="vJPceuhERXDBSEb667dJra"/>
    <m/>
    <s v="uuid:ff9cc70b-e831-46bb-80b5-e17d267a8147"/>
    <n v="19"/>
  </r>
  <r>
    <d v="2025-11-28T10:58:32"/>
    <d v="2025-11-28T13:11:58"/>
    <m/>
    <m/>
    <m/>
    <s v="Yes, I agree"/>
    <m/>
    <s v="Faith Kyengo"/>
    <d v="2025-11-28T00:00:00"/>
    <s v="Muangeni"/>
    <s v="-2.316648 37.850452 1030.2 12.600000381469727"/>
    <x v="10"/>
    <x v="10"/>
    <x v="10"/>
    <n v="12.60000038146973"/>
    <m/>
    <s v="Festus Kimotho"/>
    <x v="1"/>
    <x v="0"/>
    <m/>
    <n v="2"/>
    <n v="2"/>
    <n v="727736312"/>
    <x v="3"/>
    <x v="0"/>
    <m/>
    <x v="2"/>
    <x v="0"/>
    <x v="1"/>
    <x v="1"/>
    <x v="1"/>
    <x v="3"/>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Senna abbreviata croton megalocarpus Mango Moringa oleifera Passion fruit Lemon tree"/>
    <x v="1"/>
    <x v="0"/>
    <x v="0"/>
    <x v="0"/>
    <x v="1"/>
    <x v="1"/>
    <x v="1"/>
    <x v="0"/>
    <x v="0"/>
    <x v="0"/>
    <x v="0"/>
    <x v="0"/>
    <x v="1"/>
    <x v="0"/>
    <x v="0"/>
    <x v="0"/>
    <x v="0"/>
    <x v="0"/>
    <x v="0"/>
    <x v="1"/>
    <x v="0"/>
    <x v="0"/>
    <x v="0"/>
    <x v="0"/>
    <x v="0"/>
    <x v="0"/>
    <x v="0"/>
    <x v="0"/>
    <x v="0"/>
    <m/>
    <x v="2"/>
    <x v="10"/>
    <x v="2"/>
    <x v="10"/>
    <x v="1"/>
    <x v="10"/>
    <x v="1"/>
    <x v="10"/>
    <x v="2"/>
    <x v="10"/>
    <x v="10"/>
    <x v="10"/>
    <m/>
    <x v="0"/>
    <m/>
    <s v="Through local leaders"/>
    <x v="1"/>
    <x v="0"/>
    <x v="1"/>
    <x v="0"/>
    <x v="0"/>
    <m/>
    <x v="10"/>
    <x v="10"/>
    <x v="10"/>
    <n v="617080111"/>
    <s v="fd35e173-d440-45ce-9e3e-c0f69b33ccf0"/>
    <d v="2025-11-28T10:12:00"/>
    <m/>
    <m/>
    <s v="submitted_via_web"/>
    <m/>
    <s v="vJPceuhERXDBSEb667dJra"/>
    <m/>
    <s v="uuid:fd35e173-d440-45ce-9e3e-c0f69b33ccf0"/>
    <n v="20"/>
  </r>
  <r>
    <d v="2025-11-28T13:11:58"/>
    <d v="2025-11-28T13:50:49"/>
    <m/>
    <m/>
    <m/>
    <s v="Yes, I agree"/>
    <m/>
    <s v="Faith Kyengo"/>
    <d v="2025-11-28T00:00:00"/>
    <s v="Nguumo Village"/>
    <s v="-2.313373 37.847162 969.8 10.100000381469727"/>
    <x v="11"/>
    <x v="11"/>
    <x v="11"/>
    <n v="10.10000038146973"/>
    <m/>
    <s v="Emma Kaunda"/>
    <x v="1"/>
    <x v="3"/>
    <m/>
    <n v="3"/>
    <n v="2"/>
    <n v="700029040"/>
    <x v="3"/>
    <x v="0"/>
    <m/>
    <x v="4"/>
    <x v="0"/>
    <x v="1"/>
    <x v="0"/>
    <x v="0"/>
    <x v="0"/>
    <x v="0"/>
    <x v="0"/>
    <m/>
    <x v="0"/>
    <x v="0"/>
    <x v="0"/>
    <x v="0"/>
    <x v="0"/>
    <m/>
    <s v="KEFRI"/>
    <n v="1"/>
    <n v="0"/>
    <n v="0"/>
    <n v="0"/>
    <n v="0"/>
    <n v="0"/>
    <m/>
    <s v="Shade Timber Fodder Fruits Fuelwood Boundary marking Income generation Environmental reasons (erosion control, windbreak, etc)"/>
    <x v="0"/>
    <x v="0"/>
    <x v="1"/>
    <x v="0"/>
    <x v="1"/>
    <x v="0"/>
    <x v="1"/>
    <x v="0"/>
    <n v="0"/>
    <m/>
    <m/>
    <s v="Tamarindus indica (Tamarind) Melia Volkensii Neem (Azadirachta indica) Senna siamea  Delonix regia Mango Terminalia brownii Moringa oleifera Passion fruit Lemon tree"/>
    <x v="1"/>
    <x v="0"/>
    <x v="0"/>
    <x v="0"/>
    <x v="1"/>
    <x v="0"/>
    <x v="1"/>
    <x v="0"/>
    <x v="0"/>
    <x v="0"/>
    <x v="0"/>
    <x v="0"/>
    <x v="1"/>
    <x v="1"/>
    <x v="1"/>
    <x v="0"/>
    <x v="0"/>
    <x v="0"/>
    <x v="0"/>
    <x v="1"/>
    <x v="0"/>
    <x v="0"/>
    <x v="1"/>
    <x v="0"/>
    <x v="0"/>
    <x v="0"/>
    <x v="0"/>
    <x v="0"/>
    <x v="0"/>
    <m/>
    <x v="2"/>
    <x v="11"/>
    <x v="2"/>
    <x v="11"/>
    <x v="3"/>
    <x v="11"/>
    <x v="0"/>
    <x v="11"/>
    <x v="7"/>
    <x v="11"/>
    <x v="11"/>
    <x v="11"/>
    <m/>
    <x v="0"/>
    <m/>
    <s v="Through local leaders"/>
    <x v="1"/>
    <x v="0"/>
    <x v="1"/>
    <x v="0"/>
    <x v="0"/>
    <m/>
    <x v="11"/>
    <x v="11"/>
    <x v="11"/>
    <n v="617114691"/>
    <s v="fee41ac9-bf1a-4c1b-999b-78fd709b5fbb"/>
    <d v="2025-11-28T10:50:50"/>
    <m/>
    <m/>
    <s v="submitted_via_web"/>
    <m/>
    <s v="vJPceuhERXDBSEb667dJra"/>
    <m/>
    <s v="uuid:fee41ac9-bf1a-4c1b-999b-78fd709b5fbb"/>
    <n v="21"/>
  </r>
  <r>
    <d v="2025-12-08T13:30:34"/>
    <d v="2025-12-08T16:35:55"/>
    <m/>
    <m/>
    <m/>
    <s v="Yes, I agree"/>
    <m/>
    <s v="Faith Kyengo"/>
    <d v="2025-12-08T00:00:00"/>
    <s v="Nguumo/muuni/kalimani"/>
    <s v="-2.365595 37.878845 962.5 9"/>
    <x v="12"/>
    <x v="12"/>
    <x v="12"/>
    <n v="9"/>
    <m/>
    <s v="Christine muema"/>
    <x v="0"/>
    <x v="5"/>
    <m/>
    <n v="3"/>
    <n v="1"/>
    <n v="717543836"/>
    <x v="4"/>
    <x v="0"/>
    <m/>
    <x v="6"/>
    <x v="1"/>
    <x v="0"/>
    <x v="0"/>
    <x v="1"/>
    <x v="4"/>
    <x v="1"/>
    <x v="1"/>
    <s v="Livestock keeping  Crop farming  Bee keeping "/>
    <x v="1"/>
    <x v="1"/>
    <x v="2"/>
    <x v="1"/>
    <x v="2"/>
    <n v="4"/>
    <s v="KEFRI Self-raised"/>
    <n v="1"/>
    <n v="0"/>
    <n v="0"/>
    <n v="0"/>
    <n v="1"/>
    <n v="0"/>
    <m/>
    <s v="Shade Fruits Environmental reasons (erosion control, windbreak, etc)"/>
    <x v="0"/>
    <x v="1"/>
    <x v="0"/>
    <x v="0"/>
    <x v="0"/>
    <x v="1"/>
    <x v="0"/>
    <x v="0"/>
    <n v="0"/>
    <m/>
    <m/>
    <s v="Mango Avocado Passion fruit Lemon tree"/>
    <x v="0"/>
    <x v="1"/>
    <x v="0"/>
    <x v="1"/>
    <x v="0"/>
    <x v="0"/>
    <x v="1"/>
    <x v="0"/>
    <x v="0"/>
    <x v="0"/>
    <x v="0"/>
    <x v="0"/>
    <x v="1"/>
    <x v="0"/>
    <x v="1"/>
    <x v="0"/>
    <x v="0"/>
    <x v="0"/>
    <x v="0"/>
    <x v="0"/>
    <x v="0"/>
    <x v="0"/>
    <x v="0"/>
    <x v="1"/>
    <x v="0"/>
    <x v="0"/>
    <x v="0"/>
    <x v="0"/>
    <x v="0"/>
    <m/>
    <x v="0"/>
    <x v="12"/>
    <x v="4"/>
    <x v="12"/>
    <x v="5"/>
    <x v="12"/>
    <x v="7"/>
    <x v="12"/>
    <x v="7"/>
    <x v="12"/>
    <x v="12"/>
    <x v="12"/>
    <m/>
    <x v="0"/>
    <m/>
    <s v="Group distribution Individual pickup"/>
    <x v="0"/>
    <x v="1"/>
    <x v="0"/>
    <x v="0"/>
    <x v="0"/>
    <m/>
    <x v="12"/>
    <x v="1"/>
    <x v="12"/>
    <n v="624999994"/>
    <s v="a11ae43d-556e-439e-86b3-0d0a5225c4da"/>
    <d v="2025-12-08T13:35:55"/>
    <m/>
    <m/>
    <s v="submitted_via_web"/>
    <m/>
    <s v="vJPceuhERXDBSEb667dJra"/>
    <m/>
    <s v="uuid:a11ae43d-556e-439e-86b3-0d0a5225c4da"/>
    <n v="23"/>
  </r>
  <r>
    <d v="2025-11-26T11:35:43"/>
    <d v="2025-12-14T06:36:13"/>
    <m/>
    <m/>
    <m/>
    <s v="Yes, I agree"/>
    <m/>
    <s v="Faith Kyengo"/>
    <d v="2025-11-26T00:00:00"/>
    <s v="Kyuusani"/>
    <s v="-2.340398 37.876502 997.6 8.899999618530273"/>
    <x v="13"/>
    <x v="13"/>
    <x v="13"/>
    <n v="8.8999996185302734"/>
    <m/>
    <s v="Nicodemus Kyalo"/>
    <x v="1"/>
    <x v="5"/>
    <m/>
    <n v="2"/>
    <n v="3"/>
    <n v="723964156"/>
    <x v="5"/>
    <x v="0"/>
    <m/>
    <x v="6"/>
    <x v="1"/>
    <x v="0"/>
    <x v="0"/>
    <x v="1"/>
    <x v="5"/>
    <x v="0"/>
    <x v="0"/>
    <m/>
    <x v="0"/>
    <x v="0"/>
    <x v="0"/>
    <x v="0"/>
    <x v="0"/>
    <m/>
    <s v="KEFRI Other"/>
    <n v="1"/>
    <n v="0"/>
    <n v="0"/>
    <n v="0"/>
    <n v="0"/>
    <n v="1"/>
    <s v="KFS"/>
    <s v="Shade Timber Fodder Fruits Fuelwood Boundary marking Income generation Environmental reasons (erosion control, windbreak, etc)"/>
    <x v="0"/>
    <x v="0"/>
    <x v="1"/>
    <x v="0"/>
    <x v="1"/>
    <x v="0"/>
    <x v="1"/>
    <x v="0"/>
    <n v="0"/>
    <m/>
    <m/>
    <s v="Melia Volkensii Neem (Azadirachta indica) Acacia tortilis Dalbergia melanoxylon Delonix regia Mango Avocado Moringa oleifera Passion fruit Lemon tree"/>
    <x v="0"/>
    <x v="0"/>
    <x v="0"/>
    <x v="0"/>
    <x v="0"/>
    <x v="0"/>
    <x v="0"/>
    <x v="0"/>
    <x v="0"/>
    <x v="0"/>
    <x v="0"/>
    <x v="0"/>
    <x v="0"/>
    <x v="1"/>
    <x v="1"/>
    <x v="0"/>
    <x v="0"/>
    <x v="0"/>
    <x v="0"/>
    <x v="0"/>
    <x v="0"/>
    <x v="0"/>
    <x v="0"/>
    <x v="0"/>
    <x v="0"/>
    <x v="0"/>
    <x v="0"/>
    <x v="0"/>
    <x v="0"/>
    <m/>
    <x v="2"/>
    <x v="13"/>
    <x v="3"/>
    <x v="13"/>
    <x v="4"/>
    <x v="13"/>
    <x v="1"/>
    <x v="13"/>
    <x v="4"/>
    <x v="13"/>
    <x v="13"/>
    <x v="13"/>
    <m/>
    <x v="0"/>
    <m/>
    <s v="Individual pickup"/>
    <x v="1"/>
    <x v="1"/>
    <x v="0"/>
    <x v="0"/>
    <x v="0"/>
    <m/>
    <x v="13"/>
    <x v="12"/>
    <x v="13"/>
    <n v="629516207"/>
    <s v="30e32352-9b88-46b1-800c-f3d6a1c3aba8"/>
    <d v="2025-12-14T03:36:14"/>
    <m/>
    <m/>
    <s v="submitted_via_web"/>
    <m/>
    <s v="vJPceuhERXDBSEb667dJra"/>
    <m/>
    <s v="uuid:30e32352-9b88-46b1-800c-f3d6a1c3aba8"/>
    <n v="26"/>
  </r>
  <r>
    <d v="2025-11-26T16:10:15"/>
    <d v="2025-12-14T06:39:20"/>
    <m/>
    <m/>
    <m/>
    <s v="Yes, I agree"/>
    <m/>
    <s v="Faith Kyengo"/>
    <d v="2025-11-26T00:00:00"/>
    <s v="Siembeni village"/>
    <s v="-2.349195 37.87919 998.7 6.300000190734863"/>
    <x v="14"/>
    <x v="14"/>
    <x v="14"/>
    <n v="6.3000001907348633"/>
    <m/>
    <s v="Cicilia Mutie"/>
    <x v="0"/>
    <x v="5"/>
    <m/>
    <n v="3"/>
    <n v="6"/>
    <n v="712601618"/>
    <x v="1"/>
    <x v="2"/>
    <m/>
    <x v="7"/>
    <x v="0"/>
    <x v="1"/>
    <x v="1"/>
    <x v="0"/>
    <x v="0"/>
    <x v="1"/>
    <x v="1"/>
    <s v="Livestock keeping  Grass planting  Horticulture  Crop farming "/>
    <x v="1"/>
    <x v="2"/>
    <x v="1"/>
    <x v="1"/>
    <x v="1"/>
    <n v="4"/>
    <s v="KEFRI Self-raised"/>
    <n v="1"/>
    <n v="0"/>
    <n v="0"/>
    <n v="0"/>
    <n v="1"/>
    <n v="0"/>
    <m/>
    <s v="Shade Timber Fodder Fruits Fuelwood Boundary marking Income generation Environmental reasons (erosion control, windbreak, etc)"/>
    <x v="0"/>
    <x v="0"/>
    <x v="1"/>
    <x v="0"/>
    <x v="1"/>
    <x v="0"/>
    <x v="1"/>
    <x v="0"/>
    <n v="0"/>
    <m/>
    <m/>
    <s v="Tamarindus indica (Tamarind) Melia Volkensii Neem (Azadirachta indica) Senna siamea  Senna abbreviata Acacia tortilis croton megalocarpus Mango Passion fruit Lemon tree"/>
    <x v="1"/>
    <x v="0"/>
    <x v="0"/>
    <x v="0"/>
    <x v="1"/>
    <x v="1"/>
    <x v="0"/>
    <x v="0"/>
    <x v="0"/>
    <x v="0"/>
    <x v="0"/>
    <x v="0"/>
    <x v="1"/>
    <x v="0"/>
    <x v="0"/>
    <x v="0"/>
    <x v="0"/>
    <x v="0"/>
    <x v="0"/>
    <x v="1"/>
    <x v="0"/>
    <x v="0"/>
    <x v="0"/>
    <x v="1"/>
    <x v="0"/>
    <x v="0"/>
    <x v="0"/>
    <x v="0"/>
    <x v="0"/>
    <m/>
    <x v="0"/>
    <x v="14"/>
    <x v="1"/>
    <x v="14"/>
    <x v="6"/>
    <x v="14"/>
    <x v="0"/>
    <x v="14"/>
    <x v="0"/>
    <x v="14"/>
    <x v="14"/>
    <x v="14"/>
    <m/>
    <x v="0"/>
    <m/>
    <s v="Group distribution"/>
    <x v="0"/>
    <x v="0"/>
    <x v="0"/>
    <x v="0"/>
    <x v="0"/>
    <m/>
    <x v="14"/>
    <x v="13"/>
    <x v="14"/>
    <n v="629516682"/>
    <s v="93a75ad4-bc26-449b-a8f3-2e0197bf0575"/>
    <d v="2025-12-14T03:39:23"/>
    <m/>
    <m/>
    <s v="submitted_via_web"/>
    <m/>
    <s v="vJPceuhERXDBSEb667dJra"/>
    <m/>
    <s v="uuid:93a75ad4-bc26-449b-a8f3-2e0197bf0575"/>
    <n v="27"/>
  </r>
  <r>
    <d v="2025-11-27T07:25:13"/>
    <d v="2025-12-14T06:40:27"/>
    <m/>
    <m/>
    <m/>
    <s v="Yes, I agree"/>
    <m/>
    <s v="Faith Kyengo"/>
    <d v="2025-11-27T00:00:00"/>
    <s v="Nguumo location/Kyandulu Village"/>
    <s v="-2.358977 37.879545 984.1 5.400000095367432"/>
    <x v="15"/>
    <x v="15"/>
    <x v="15"/>
    <n v="5.4000000953674316"/>
    <m/>
    <s v="Francis Munywoki"/>
    <x v="1"/>
    <x v="2"/>
    <m/>
    <n v="2"/>
    <n v="4"/>
    <n v="721332729"/>
    <x v="6"/>
    <x v="0"/>
    <m/>
    <x v="2"/>
    <x v="0"/>
    <x v="1"/>
    <x v="1"/>
    <x v="1"/>
    <x v="6"/>
    <x v="1"/>
    <x v="1"/>
    <s v="Livestock keeping  Grass planting  Horticulture  Crop farming  Bee keeping "/>
    <x v="1"/>
    <x v="2"/>
    <x v="1"/>
    <x v="1"/>
    <x v="2"/>
    <n v="10"/>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Dalbergia melanoxylon Delonix regia croton megalocarpus Mango Avocado Lemon tree"/>
    <x v="1"/>
    <x v="0"/>
    <x v="0"/>
    <x v="0"/>
    <x v="1"/>
    <x v="0"/>
    <x v="1"/>
    <x v="0"/>
    <x v="0"/>
    <x v="0"/>
    <x v="0"/>
    <x v="0"/>
    <x v="0"/>
    <x v="1"/>
    <x v="0"/>
    <x v="0"/>
    <x v="0"/>
    <x v="0"/>
    <x v="0"/>
    <x v="0"/>
    <x v="0"/>
    <x v="0"/>
    <x v="0"/>
    <x v="1"/>
    <x v="0"/>
    <x v="0"/>
    <x v="1"/>
    <x v="0"/>
    <x v="0"/>
    <m/>
    <x v="0"/>
    <x v="15"/>
    <x v="1"/>
    <x v="15"/>
    <x v="1"/>
    <x v="15"/>
    <x v="8"/>
    <x v="15"/>
    <x v="7"/>
    <x v="15"/>
    <x v="15"/>
    <x v="15"/>
    <m/>
    <x v="0"/>
    <m/>
    <s v="Group distribution"/>
    <x v="0"/>
    <x v="0"/>
    <x v="0"/>
    <x v="0"/>
    <x v="0"/>
    <m/>
    <x v="15"/>
    <x v="14"/>
    <x v="15"/>
    <n v="629516839"/>
    <s v="fdff7168-80dc-46e0-b37b-557c86deb2ef"/>
    <d v="2025-12-14T03:40:29"/>
    <m/>
    <m/>
    <s v="submitted_via_web"/>
    <m/>
    <s v="vJPceuhERXDBSEb667dJra"/>
    <m/>
    <s v="uuid:fdff7168-80dc-46e0-b37b-557c86deb2ef"/>
    <n v="28"/>
  </r>
  <r>
    <d v="2025-11-27T10:19:05"/>
    <d v="2025-12-14T06:41:55"/>
    <m/>
    <m/>
    <m/>
    <s v="Yes, I agree"/>
    <m/>
    <s v="Faith Kyengo"/>
    <d v="2025-11-27T00:00:00"/>
    <s v="Nguumo ward /Nguumo Location/Kisauni Village"/>
    <s v="-2.359282 37.901087 983.1 7.75"/>
    <x v="16"/>
    <x v="16"/>
    <x v="16"/>
    <n v="7.75"/>
    <m/>
    <s v="Caroline Kanini"/>
    <x v="0"/>
    <x v="0"/>
    <m/>
    <n v="2"/>
    <n v="3"/>
    <n v="728348625"/>
    <x v="1"/>
    <x v="2"/>
    <m/>
    <x v="7"/>
    <x v="0"/>
    <x v="1"/>
    <x v="1"/>
    <x v="0"/>
    <x v="0"/>
    <x v="0"/>
    <x v="1"/>
    <s v="Livestock keeping  Grass planting  Horticulture  Crop farming  Bee keeping "/>
    <x v="1"/>
    <x v="2"/>
    <x v="1"/>
    <x v="1"/>
    <x v="2"/>
    <m/>
    <s v="KEFRI Local nursery Self-raised"/>
    <n v="1"/>
    <n v="0"/>
    <n v="1"/>
    <n v="0"/>
    <n v="1"/>
    <n v="0"/>
    <m/>
    <s v="Shade Timber Fodder Fruits Fuelwood Boundary marking Income generation Environmental reasons (erosion control, windbreak, etc)"/>
    <x v="0"/>
    <x v="0"/>
    <x v="1"/>
    <x v="0"/>
    <x v="1"/>
    <x v="0"/>
    <x v="1"/>
    <x v="0"/>
    <n v="0"/>
    <m/>
    <m/>
    <s v="Melia Volkensii Neem (Azadirachta indica) Senna siamea  Senna abbreviata Delonix regia Mango Avocado Moringa oleifera Passion fruit Lemon tree"/>
    <x v="0"/>
    <x v="0"/>
    <x v="0"/>
    <x v="0"/>
    <x v="1"/>
    <x v="1"/>
    <x v="1"/>
    <x v="0"/>
    <x v="0"/>
    <x v="0"/>
    <x v="0"/>
    <x v="0"/>
    <x v="1"/>
    <x v="1"/>
    <x v="1"/>
    <x v="0"/>
    <x v="0"/>
    <x v="0"/>
    <x v="0"/>
    <x v="0"/>
    <x v="0"/>
    <x v="0"/>
    <x v="0"/>
    <x v="0"/>
    <x v="0"/>
    <x v="0"/>
    <x v="0"/>
    <x v="0"/>
    <x v="0"/>
    <m/>
    <x v="2"/>
    <x v="16"/>
    <x v="3"/>
    <x v="16"/>
    <x v="4"/>
    <x v="16"/>
    <x v="1"/>
    <x v="16"/>
    <x v="4"/>
    <x v="16"/>
    <x v="16"/>
    <x v="16"/>
    <m/>
    <x v="0"/>
    <m/>
    <s v="Through local leaders"/>
    <x v="1"/>
    <x v="0"/>
    <x v="1"/>
    <x v="0"/>
    <x v="0"/>
    <m/>
    <x v="16"/>
    <x v="15"/>
    <x v="16"/>
    <n v="629517211"/>
    <s v="8f10cbc3-00f2-4313-bd5e-508e5d7c2fd3"/>
    <d v="2025-12-14T03:41:57"/>
    <m/>
    <m/>
    <s v="submitted_via_web"/>
    <m/>
    <s v="vJPceuhERXDBSEb667dJra"/>
    <m/>
    <s v="uuid:8f10cbc3-00f2-4313-bd5e-508e5d7c2fd3"/>
    <n v="29"/>
  </r>
  <r>
    <d v="2025-11-27T11:46:29"/>
    <d v="2025-12-14T06:44:22"/>
    <m/>
    <m/>
    <m/>
    <s v="Yes, I agree"/>
    <m/>
    <s v="Faith Kyengo"/>
    <d v="2025-11-27T00:00:00"/>
    <s v="Nguumo Location/Nguumo Village"/>
    <s v="-2.352777 37.903385 986 10.300000190734863"/>
    <x v="17"/>
    <x v="17"/>
    <x v="17"/>
    <n v="10.30000019073486"/>
    <m/>
    <s v="Peter Munywoki"/>
    <x v="1"/>
    <x v="6"/>
    <m/>
    <n v="2"/>
    <n v="3"/>
    <n v="701572148"/>
    <x v="3"/>
    <x v="0"/>
    <m/>
    <x v="7"/>
    <x v="0"/>
    <x v="1"/>
    <x v="1"/>
    <x v="0"/>
    <x v="0"/>
    <x v="0"/>
    <x v="1"/>
    <s v="Livestock keeping  Horticulture  Crop farming "/>
    <x v="1"/>
    <x v="1"/>
    <x v="1"/>
    <x v="1"/>
    <x v="1"/>
    <m/>
    <s v="KEFRI Local nursery Self-raised"/>
    <n v="1"/>
    <n v="0"/>
    <n v="1"/>
    <n v="0"/>
    <n v="1"/>
    <n v="0"/>
    <m/>
    <s v="Shade Timber Fodder Fruits Fuelwood Boundary marking Income generation Environmental reasons (erosion control, windbreak, etc)"/>
    <x v="0"/>
    <x v="0"/>
    <x v="1"/>
    <x v="0"/>
    <x v="1"/>
    <x v="0"/>
    <x v="1"/>
    <x v="0"/>
    <n v="0"/>
    <m/>
    <m/>
    <s v="Tamarindus indica (Tamarind) Neem (Azadirachta indica) Senna siamea  Senna abbreviata Acacia melifera Acacia seyal Dalbergia melanoxylon Mango Avocado Lemon tree"/>
    <x v="1"/>
    <x v="1"/>
    <x v="0"/>
    <x v="0"/>
    <x v="1"/>
    <x v="1"/>
    <x v="1"/>
    <x v="1"/>
    <x v="0"/>
    <x v="1"/>
    <x v="0"/>
    <x v="0"/>
    <x v="0"/>
    <x v="0"/>
    <x v="1"/>
    <x v="0"/>
    <x v="0"/>
    <x v="0"/>
    <x v="0"/>
    <x v="0"/>
    <x v="0"/>
    <x v="0"/>
    <x v="0"/>
    <x v="1"/>
    <x v="0"/>
    <x v="0"/>
    <x v="1"/>
    <x v="0"/>
    <x v="0"/>
    <m/>
    <x v="2"/>
    <x v="17"/>
    <x v="3"/>
    <x v="17"/>
    <x v="3"/>
    <x v="17"/>
    <x v="9"/>
    <x v="17"/>
    <x v="2"/>
    <x v="17"/>
    <x v="17"/>
    <x v="17"/>
    <m/>
    <x v="0"/>
    <m/>
    <s v="Through local leaders"/>
    <x v="1"/>
    <x v="0"/>
    <x v="1"/>
    <x v="0"/>
    <x v="0"/>
    <m/>
    <x v="17"/>
    <x v="16"/>
    <x v="17"/>
    <n v="629517854"/>
    <s v="801f38b8-e9d2-446a-b84d-486a1c110ad9"/>
    <d v="2025-12-14T03:44:24"/>
    <m/>
    <m/>
    <s v="submitted_via_web"/>
    <m/>
    <s v="vJPceuhERXDBSEb667dJra"/>
    <m/>
    <s v="uuid:801f38b8-e9d2-446a-b84d-486a1c110ad9"/>
    <n v="30"/>
  </r>
  <r>
    <d v="2025-11-28T13:50:49"/>
    <d v="2025-12-14T06:45:58"/>
    <m/>
    <m/>
    <m/>
    <s v="Yes, I agree"/>
    <m/>
    <s v="Faith Kyengo"/>
    <d v="2025-11-28T00:00:00"/>
    <s v="Kyambiti Village"/>
    <s v="-2.345197 37.891673 926.7 7.099999904632568"/>
    <x v="18"/>
    <x v="18"/>
    <x v="18"/>
    <n v="7.0999999046325684"/>
    <m/>
    <s v="Joselyne Mutheu"/>
    <x v="0"/>
    <x v="7"/>
    <m/>
    <n v="1"/>
    <n v="2"/>
    <n v="798863109"/>
    <x v="1"/>
    <x v="0"/>
    <m/>
    <x v="7"/>
    <x v="0"/>
    <x v="1"/>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Senna abbreviata Acacia melifera Mango Terminalia brownii Moringa oleifera Lemon tree"/>
    <x v="1"/>
    <x v="0"/>
    <x v="0"/>
    <x v="0"/>
    <x v="1"/>
    <x v="1"/>
    <x v="1"/>
    <x v="1"/>
    <x v="0"/>
    <x v="0"/>
    <x v="0"/>
    <x v="0"/>
    <x v="1"/>
    <x v="0"/>
    <x v="1"/>
    <x v="0"/>
    <x v="0"/>
    <x v="0"/>
    <x v="0"/>
    <x v="1"/>
    <x v="0"/>
    <x v="0"/>
    <x v="1"/>
    <x v="0"/>
    <x v="0"/>
    <x v="0"/>
    <x v="1"/>
    <x v="0"/>
    <x v="0"/>
    <m/>
    <x v="0"/>
    <x v="18"/>
    <x v="1"/>
    <x v="18"/>
    <x v="3"/>
    <x v="18"/>
    <x v="8"/>
    <x v="18"/>
    <x v="8"/>
    <x v="18"/>
    <x v="18"/>
    <x v="18"/>
    <m/>
    <x v="0"/>
    <m/>
    <s v="Through local leaders"/>
    <x v="1"/>
    <x v="0"/>
    <x v="1"/>
    <x v="0"/>
    <x v="0"/>
    <m/>
    <x v="18"/>
    <x v="17"/>
    <x v="18"/>
    <n v="629518230"/>
    <s v="5dc220f6-4658-43db-b421-333a441951e1"/>
    <d v="2025-12-14T03:45:59"/>
    <m/>
    <m/>
    <s v="submitted_via_web"/>
    <m/>
    <s v="vJPceuhERXDBSEb667dJra"/>
    <m/>
    <s v="uuid:5dc220f6-4658-43db-b421-333a441951e1"/>
    <n v="31"/>
  </r>
  <r>
    <d v="2025-12-01T09:56:18"/>
    <d v="2025-12-14T06:48:15"/>
    <m/>
    <m/>
    <m/>
    <s v="Yes, I agree"/>
    <m/>
    <s v="Faith Kyengo"/>
    <d v="2025-12-01T00:00:00"/>
    <s v="Kyambiti Village"/>
    <s v="-2.342267 37.892252 993.6 8.800000190734863"/>
    <x v="19"/>
    <x v="19"/>
    <x v="19"/>
    <n v="8.8000001907348633"/>
    <m/>
    <s v="Isaac Welikhe"/>
    <x v="1"/>
    <x v="3"/>
    <m/>
    <n v="2"/>
    <n v="2"/>
    <n v="720833524"/>
    <x v="1"/>
    <x v="0"/>
    <m/>
    <x v="7"/>
    <x v="0"/>
    <x v="1"/>
    <x v="1"/>
    <x v="0"/>
    <x v="0"/>
    <x v="0"/>
    <x v="1"/>
    <s v="Livestock keeping  Horticulture  Crop farming "/>
    <x v="1"/>
    <x v="1"/>
    <x v="1"/>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tortilis croton megalocarpus Mango Balanites aegyptiaca Terminalia brownii Moringa oleifera"/>
    <x v="1"/>
    <x v="0"/>
    <x v="0"/>
    <x v="0"/>
    <x v="1"/>
    <x v="0"/>
    <x v="0"/>
    <x v="0"/>
    <x v="0"/>
    <x v="0"/>
    <x v="0"/>
    <x v="0"/>
    <x v="1"/>
    <x v="0"/>
    <x v="0"/>
    <x v="0"/>
    <x v="0"/>
    <x v="0"/>
    <x v="0"/>
    <x v="1"/>
    <x v="0"/>
    <x v="1"/>
    <x v="1"/>
    <x v="0"/>
    <x v="0"/>
    <x v="0"/>
    <x v="1"/>
    <x v="1"/>
    <x v="0"/>
    <m/>
    <x v="0"/>
    <x v="19"/>
    <x v="1"/>
    <x v="19"/>
    <x v="3"/>
    <x v="19"/>
    <x v="10"/>
    <x v="19"/>
    <x v="2"/>
    <x v="19"/>
    <x v="19"/>
    <x v="19"/>
    <m/>
    <x v="0"/>
    <m/>
    <s v="Through local leaders"/>
    <x v="1"/>
    <x v="0"/>
    <x v="1"/>
    <x v="0"/>
    <x v="0"/>
    <m/>
    <x v="19"/>
    <x v="18"/>
    <x v="19"/>
    <n v="629518778"/>
    <s v="cd5393c4-484a-45a7-9f59-2a568e836e84"/>
    <d v="2025-12-14T03:48:16"/>
    <m/>
    <m/>
    <s v="submitted_via_web"/>
    <m/>
    <s v="vJPceuhERXDBSEb667dJra"/>
    <m/>
    <s v="uuid:cd5393c4-484a-45a7-9f59-2a568e836e84"/>
    <n v="32"/>
  </r>
  <r>
    <d v="2025-12-01T11:35:50"/>
    <d v="2025-12-14T06:51:04"/>
    <m/>
    <m/>
    <m/>
    <s v="Yes, I agree"/>
    <m/>
    <s v="Faith Kyengo"/>
    <d v="2025-12-01T00:00:00"/>
    <s v="Matithini village"/>
    <s v="-2.317707 37.883718 983.1 9.899999618530273"/>
    <x v="20"/>
    <x v="20"/>
    <x v="16"/>
    <n v="9.8999996185302734"/>
    <m/>
    <s v="Mary Mbithe"/>
    <x v="0"/>
    <x v="0"/>
    <m/>
    <n v="2"/>
    <n v="4"/>
    <n v="725613810"/>
    <x v="7"/>
    <x v="0"/>
    <m/>
    <x v="5"/>
    <x v="0"/>
    <x v="0"/>
    <x v="1"/>
    <x v="0"/>
    <x v="0"/>
    <x v="0"/>
    <x v="1"/>
    <s v="Crop farming "/>
    <x v="2"/>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croton megalocarpus Mango Terminalia brownii Moringa oleifera Passion fruit"/>
    <x v="1"/>
    <x v="0"/>
    <x v="0"/>
    <x v="0"/>
    <x v="1"/>
    <x v="0"/>
    <x v="1"/>
    <x v="0"/>
    <x v="0"/>
    <x v="0"/>
    <x v="0"/>
    <x v="0"/>
    <x v="1"/>
    <x v="0"/>
    <x v="0"/>
    <x v="0"/>
    <x v="0"/>
    <x v="0"/>
    <x v="0"/>
    <x v="1"/>
    <x v="0"/>
    <x v="0"/>
    <x v="1"/>
    <x v="0"/>
    <x v="0"/>
    <x v="0"/>
    <x v="0"/>
    <x v="1"/>
    <x v="0"/>
    <m/>
    <x v="0"/>
    <x v="20"/>
    <x v="5"/>
    <x v="20"/>
    <x v="7"/>
    <x v="20"/>
    <x v="2"/>
    <x v="7"/>
    <x v="2"/>
    <x v="20"/>
    <x v="20"/>
    <x v="20"/>
    <m/>
    <x v="0"/>
    <m/>
    <s v="Through local leaders"/>
    <x v="1"/>
    <x v="0"/>
    <x v="1"/>
    <x v="0"/>
    <x v="0"/>
    <m/>
    <x v="20"/>
    <x v="9"/>
    <x v="20"/>
    <n v="629519137"/>
    <s v="d9794705-38e8-4049-b473-13f7eaa1ab7e"/>
    <d v="2025-12-14T03:51:06"/>
    <m/>
    <m/>
    <s v="submitted_via_web"/>
    <m/>
    <s v="vJPceuhERXDBSEb667dJra"/>
    <m/>
    <s v="uuid:d9794705-38e8-4049-b473-13f7eaa1ab7e"/>
    <n v="33"/>
  </r>
  <r>
    <d v="2025-12-01T13:12:27"/>
    <d v="2025-12-14T06:55:19"/>
    <m/>
    <m/>
    <m/>
    <s v="Yes, I agree"/>
    <m/>
    <s v="Faith Kyengo"/>
    <d v="2025-12-01T00:00:00"/>
    <s v="Muleelani village"/>
    <s v="-2.318757 37.882547 997 4.800000190734863"/>
    <x v="21"/>
    <x v="21"/>
    <x v="20"/>
    <n v="4.8000001907348633"/>
    <m/>
    <s v="Mary Mutua"/>
    <x v="0"/>
    <x v="8"/>
    <m/>
    <n v="1"/>
    <n v="2"/>
    <n v="748780333"/>
    <x v="1"/>
    <x v="1"/>
    <m/>
    <x v="5"/>
    <x v="0"/>
    <x v="0"/>
    <x v="1"/>
    <x v="0"/>
    <x v="0"/>
    <x v="0"/>
    <x v="1"/>
    <s v="Crop farming "/>
    <x v="2"/>
    <x v="1"/>
    <x v="2"/>
    <x v="1"/>
    <x v="1"/>
    <m/>
    <s v="KEFRI"/>
    <n v="1"/>
    <n v="0"/>
    <n v="0"/>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melifera Mango Terminalia brownii Moringa oleifera Olea africana Passion fruit"/>
    <x v="1"/>
    <x v="0"/>
    <x v="0"/>
    <x v="0"/>
    <x v="1"/>
    <x v="0"/>
    <x v="1"/>
    <x v="1"/>
    <x v="0"/>
    <x v="0"/>
    <x v="0"/>
    <x v="0"/>
    <x v="1"/>
    <x v="0"/>
    <x v="1"/>
    <x v="0"/>
    <x v="0"/>
    <x v="0"/>
    <x v="0"/>
    <x v="1"/>
    <x v="0"/>
    <x v="0"/>
    <x v="1"/>
    <x v="0"/>
    <x v="1"/>
    <x v="0"/>
    <x v="0"/>
    <x v="1"/>
    <x v="0"/>
    <m/>
    <x v="0"/>
    <x v="21"/>
    <x v="1"/>
    <x v="21"/>
    <x v="8"/>
    <x v="21"/>
    <x v="1"/>
    <x v="20"/>
    <x v="5"/>
    <x v="21"/>
    <x v="21"/>
    <x v="21"/>
    <m/>
    <x v="0"/>
    <m/>
    <s v="Through local leaders"/>
    <x v="1"/>
    <x v="0"/>
    <x v="1"/>
    <x v="0"/>
    <x v="0"/>
    <m/>
    <x v="21"/>
    <x v="17"/>
    <x v="21"/>
    <n v="629519739"/>
    <s v="f50abeb2-af54-4c58-a102-5d8f2b329def"/>
    <d v="2025-12-14T03:55:21"/>
    <m/>
    <m/>
    <s v="submitted_via_web"/>
    <m/>
    <s v="vJPceuhERXDBSEb667dJra"/>
    <m/>
    <s v="uuid:f50abeb2-af54-4c58-a102-5d8f2b329def"/>
    <n v="34"/>
  </r>
  <r>
    <d v="2025-12-01T13:59:40"/>
    <d v="2025-12-14T06:57:19"/>
    <m/>
    <m/>
    <m/>
    <s v="Yes, I agree"/>
    <m/>
    <s v="Faith Kyengo"/>
    <d v="2025-12-01T00:00:00"/>
    <s v="Ngaamba Village"/>
    <s v="-2.36822 37.895835 998.2 12.600000381469727"/>
    <x v="22"/>
    <x v="22"/>
    <x v="21"/>
    <n v="12.60000038146973"/>
    <m/>
    <s v="Rose Ndibo"/>
    <x v="0"/>
    <x v="3"/>
    <m/>
    <n v="2"/>
    <n v="1"/>
    <n v="722820111"/>
    <x v="1"/>
    <x v="0"/>
    <m/>
    <x v="2"/>
    <x v="0"/>
    <x v="1"/>
    <x v="1"/>
    <x v="1"/>
    <x v="1"/>
    <x v="1"/>
    <x v="1"/>
    <s v="Livestock keeping  Horticulture  Crop farming "/>
    <x v="1"/>
    <x v="1"/>
    <x v="1"/>
    <x v="1"/>
    <x v="1"/>
    <n v="2"/>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melifera Mango Terminalia brownii Moringa oleifera Passion fruit Lemon tree"/>
    <x v="1"/>
    <x v="0"/>
    <x v="0"/>
    <x v="0"/>
    <x v="1"/>
    <x v="0"/>
    <x v="1"/>
    <x v="1"/>
    <x v="0"/>
    <x v="0"/>
    <x v="0"/>
    <x v="0"/>
    <x v="1"/>
    <x v="0"/>
    <x v="1"/>
    <x v="0"/>
    <x v="0"/>
    <x v="0"/>
    <x v="0"/>
    <x v="1"/>
    <x v="0"/>
    <x v="0"/>
    <x v="1"/>
    <x v="0"/>
    <x v="0"/>
    <x v="0"/>
    <x v="0"/>
    <x v="0"/>
    <x v="0"/>
    <m/>
    <x v="0"/>
    <x v="22"/>
    <x v="5"/>
    <x v="22"/>
    <x v="0"/>
    <x v="22"/>
    <x v="0"/>
    <x v="21"/>
    <x v="7"/>
    <x v="22"/>
    <x v="22"/>
    <x v="22"/>
    <m/>
    <x v="0"/>
    <m/>
    <s v="Through local leaders"/>
    <x v="1"/>
    <x v="0"/>
    <x v="1"/>
    <x v="0"/>
    <x v="0"/>
    <m/>
    <x v="22"/>
    <x v="9"/>
    <x v="22"/>
    <n v="629520058"/>
    <s v="22577a32-5636-4f90-9021-0fc3c6078c9c"/>
    <d v="2025-12-14T03:57:21"/>
    <m/>
    <m/>
    <s v="submitted_via_web"/>
    <m/>
    <s v="vJPceuhERXDBSEb667dJra"/>
    <m/>
    <s v="uuid:22577a32-5636-4f90-9021-0fc3c6078c9c"/>
    <n v="35"/>
  </r>
  <r>
    <d v="2025-12-01T17:01:15"/>
    <d v="2025-12-14T07:00:04"/>
    <m/>
    <m/>
    <m/>
    <s v="Yes, I agree"/>
    <m/>
    <s v="Faith Kyengo"/>
    <d v="2025-12-01T00:00:00"/>
    <s v="Makuluni village"/>
    <s v="-2.357843 37.887733 988 12.5"/>
    <x v="23"/>
    <x v="23"/>
    <x v="22"/>
    <n v="12.5"/>
    <m/>
    <s v="Agnes Julius"/>
    <x v="0"/>
    <x v="2"/>
    <m/>
    <n v="3"/>
    <n v="2"/>
    <n v="723736122"/>
    <x v="1"/>
    <x v="1"/>
    <m/>
    <x v="7"/>
    <x v="0"/>
    <x v="1"/>
    <x v="1"/>
    <x v="0"/>
    <x v="0"/>
    <x v="0"/>
    <x v="1"/>
    <s v="Livestock keeping  Horticulture  Crop farming "/>
    <x v="1"/>
    <x v="1"/>
    <x v="1"/>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Mango Moringa oleifera Passion fruit Lemon tree"/>
    <x v="1"/>
    <x v="0"/>
    <x v="0"/>
    <x v="0"/>
    <x v="1"/>
    <x v="0"/>
    <x v="1"/>
    <x v="0"/>
    <x v="0"/>
    <x v="0"/>
    <x v="0"/>
    <x v="0"/>
    <x v="1"/>
    <x v="0"/>
    <x v="1"/>
    <x v="0"/>
    <x v="0"/>
    <x v="0"/>
    <x v="0"/>
    <x v="1"/>
    <x v="0"/>
    <x v="0"/>
    <x v="0"/>
    <x v="0"/>
    <x v="0"/>
    <x v="0"/>
    <x v="0"/>
    <x v="0"/>
    <x v="0"/>
    <m/>
    <x v="0"/>
    <x v="23"/>
    <x v="5"/>
    <x v="23"/>
    <x v="0"/>
    <x v="23"/>
    <x v="11"/>
    <x v="22"/>
    <x v="7"/>
    <x v="23"/>
    <x v="23"/>
    <x v="23"/>
    <m/>
    <x v="0"/>
    <m/>
    <s v="Through local leaders"/>
    <x v="1"/>
    <x v="0"/>
    <x v="1"/>
    <x v="0"/>
    <x v="0"/>
    <m/>
    <x v="23"/>
    <x v="19"/>
    <x v="23"/>
    <n v="629520649"/>
    <s v="53f53670-8b4a-40c2-9090-fb07e2911397"/>
    <d v="2025-12-14T04:00:06"/>
    <m/>
    <m/>
    <s v="submitted_via_web"/>
    <m/>
    <s v="vJPceuhERXDBSEb667dJra"/>
    <m/>
    <s v="uuid:53f53670-8b4a-40c2-9090-fb07e2911397"/>
    <n v="36"/>
  </r>
  <r>
    <d v="2025-12-01T17:53:38"/>
    <d v="2025-12-14T07:02:22"/>
    <m/>
    <m/>
    <m/>
    <s v="Yes, I agree"/>
    <m/>
    <s v="Faith Kyengo"/>
    <d v="2025-12-02T00:00:00"/>
    <s v="Itangini village"/>
    <s v="-2.371427 37.990075 860.5 12"/>
    <x v="24"/>
    <x v="24"/>
    <x v="23"/>
    <n v="12"/>
    <m/>
    <s v="Theophilus Ndavi"/>
    <x v="1"/>
    <x v="3"/>
    <m/>
    <n v="3"/>
    <n v="3"/>
    <n v="768333884"/>
    <x v="1"/>
    <x v="0"/>
    <m/>
    <x v="7"/>
    <x v="0"/>
    <x v="1"/>
    <x v="1"/>
    <x v="0"/>
    <x v="0"/>
    <x v="1"/>
    <x v="1"/>
    <s v="Livestock keeping  Grass planting  Crop farming  Bee keeping "/>
    <x v="1"/>
    <x v="2"/>
    <x v="2"/>
    <x v="1"/>
    <x v="2"/>
    <n v="10"/>
    <s v="KEFRI Local nursery"/>
    <n v="1"/>
    <n v="0"/>
    <n v="1"/>
    <n v="0"/>
    <n v="0"/>
    <n v="0"/>
    <m/>
    <s v="Shade Timber Fodder Fruits Fuelwood Boundary marking Income generation Environmental reasons (erosion control, windbreak, etc)"/>
    <x v="0"/>
    <x v="0"/>
    <x v="1"/>
    <x v="0"/>
    <x v="1"/>
    <x v="0"/>
    <x v="1"/>
    <x v="0"/>
    <n v="0"/>
    <m/>
    <m/>
    <s v="Neem (Azadirachta indica) Senna siamea  Acacia tortilis Acacia melifera Dalbergia melanoxylon Mango Indian osyris Terminalia brownii Moringa oleifera Passion fruit Lemon tree"/>
    <x v="0"/>
    <x v="1"/>
    <x v="0"/>
    <x v="0"/>
    <x v="1"/>
    <x v="0"/>
    <x v="0"/>
    <x v="1"/>
    <x v="0"/>
    <x v="0"/>
    <x v="0"/>
    <x v="0"/>
    <x v="0"/>
    <x v="0"/>
    <x v="1"/>
    <x v="0"/>
    <x v="0"/>
    <x v="0"/>
    <x v="0"/>
    <x v="1"/>
    <x v="1"/>
    <x v="0"/>
    <x v="1"/>
    <x v="0"/>
    <x v="0"/>
    <x v="0"/>
    <x v="0"/>
    <x v="0"/>
    <x v="0"/>
    <m/>
    <x v="4"/>
    <x v="24"/>
    <x v="6"/>
    <x v="24"/>
    <x v="3"/>
    <x v="24"/>
    <x v="2"/>
    <x v="23"/>
    <x v="1"/>
    <x v="24"/>
    <x v="24"/>
    <x v="24"/>
    <m/>
    <x v="1"/>
    <m/>
    <s v="Through local leaders"/>
    <x v="1"/>
    <x v="0"/>
    <x v="1"/>
    <x v="0"/>
    <x v="0"/>
    <m/>
    <x v="24"/>
    <x v="20"/>
    <x v="23"/>
    <n v="629521169"/>
    <s v="872ba991-7b6b-4b8d-ac92-fff2aef469b8"/>
    <d v="2025-12-14T04:02:24"/>
    <m/>
    <m/>
    <s v="submitted_via_web"/>
    <m/>
    <s v="vJPceuhERXDBSEb667dJra"/>
    <m/>
    <s v="uuid:872ba991-7b6b-4b8d-ac92-fff2aef469b8"/>
    <n v="37"/>
  </r>
  <r>
    <d v="2025-12-02T09:22:35"/>
    <d v="2025-12-14T07:03:58"/>
    <m/>
    <m/>
    <m/>
    <s v="Yes, I agree"/>
    <m/>
    <s v="Faith Kyengo"/>
    <d v="2025-12-02T00:00:00"/>
    <s v="Itangini village"/>
    <s v="-2.368393 37.99072 863.4 14.5"/>
    <x v="25"/>
    <x v="25"/>
    <x v="24"/>
    <n v="14.5"/>
    <m/>
    <s v="Scholastica Mueni"/>
    <x v="0"/>
    <x v="2"/>
    <m/>
    <n v="2"/>
    <n v="2"/>
    <n v="723928793"/>
    <x v="1"/>
    <x v="0"/>
    <m/>
    <x v="7"/>
    <x v="0"/>
    <x v="1"/>
    <x v="1"/>
    <x v="0"/>
    <x v="0"/>
    <x v="0"/>
    <x v="0"/>
    <m/>
    <x v="0"/>
    <x v="0"/>
    <x v="0"/>
    <x v="0"/>
    <x v="0"/>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Senna abbreviata Acacia melifera Dalbergia melanoxylon Mango Moringa oleifera Lemon tree"/>
    <x v="1"/>
    <x v="0"/>
    <x v="0"/>
    <x v="0"/>
    <x v="1"/>
    <x v="1"/>
    <x v="1"/>
    <x v="1"/>
    <x v="0"/>
    <x v="0"/>
    <x v="0"/>
    <x v="0"/>
    <x v="0"/>
    <x v="0"/>
    <x v="1"/>
    <x v="0"/>
    <x v="0"/>
    <x v="0"/>
    <x v="0"/>
    <x v="1"/>
    <x v="0"/>
    <x v="0"/>
    <x v="0"/>
    <x v="0"/>
    <x v="0"/>
    <x v="0"/>
    <x v="1"/>
    <x v="0"/>
    <x v="0"/>
    <m/>
    <x v="0"/>
    <x v="25"/>
    <x v="1"/>
    <x v="25"/>
    <x v="7"/>
    <x v="25"/>
    <x v="1"/>
    <x v="24"/>
    <x v="8"/>
    <x v="25"/>
    <x v="25"/>
    <x v="25"/>
    <m/>
    <x v="0"/>
    <m/>
    <s v="Through local leaders"/>
    <x v="1"/>
    <x v="0"/>
    <x v="1"/>
    <x v="0"/>
    <x v="0"/>
    <m/>
    <x v="25"/>
    <x v="21"/>
    <x v="24"/>
    <n v="629521637"/>
    <s v="9bd99110-3e0e-48bf-9684-368295da886e"/>
    <d v="2025-12-14T04:04:00"/>
    <m/>
    <m/>
    <s v="submitted_via_web"/>
    <m/>
    <s v="vJPceuhERXDBSEb667dJra"/>
    <m/>
    <s v="uuid:9bd99110-3e0e-48bf-9684-368295da886e"/>
    <n v="38"/>
  </r>
  <r>
    <d v="2025-12-02T11:25:21"/>
    <d v="2025-12-14T07:04:57"/>
    <m/>
    <m/>
    <m/>
    <s v="Yes, I agree"/>
    <m/>
    <s v="Faith Kyengo"/>
    <d v="2025-12-02T00:00:00"/>
    <s v="Siembeni village"/>
    <s v="-2.361003 37.991553 873.0999999999999 26.200000762939453"/>
    <x v="26"/>
    <x v="26"/>
    <x v="25"/>
    <n v="26.20000076293945"/>
    <m/>
    <s v="Priscilla Nthenge"/>
    <x v="0"/>
    <x v="2"/>
    <m/>
    <n v="2"/>
    <n v="1"/>
    <n v="728123344"/>
    <x v="8"/>
    <x v="1"/>
    <m/>
    <x v="7"/>
    <x v="0"/>
    <x v="1"/>
    <x v="1"/>
    <x v="0"/>
    <x v="0"/>
    <x v="1"/>
    <x v="1"/>
    <s v="Livestock keeping  Grass planting  Horticulture  Crop farming  Bee keeping "/>
    <x v="1"/>
    <x v="2"/>
    <x v="1"/>
    <x v="1"/>
    <x v="2"/>
    <n v="4"/>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melifera Dalbergia melanoxylon Mango Avocado Passion fruit Lemon tree"/>
    <x v="1"/>
    <x v="0"/>
    <x v="0"/>
    <x v="0"/>
    <x v="1"/>
    <x v="0"/>
    <x v="1"/>
    <x v="1"/>
    <x v="0"/>
    <x v="0"/>
    <x v="0"/>
    <x v="0"/>
    <x v="0"/>
    <x v="0"/>
    <x v="1"/>
    <x v="0"/>
    <x v="0"/>
    <x v="0"/>
    <x v="0"/>
    <x v="0"/>
    <x v="0"/>
    <x v="0"/>
    <x v="0"/>
    <x v="1"/>
    <x v="0"/>
    <x v="0"/>
    <x v="0"/>
    <x v="0"/>
    <x v="0"/>
    <m/>
    <x v="2"/>
    <x v="26"/>
    <x v="3"/>
    <x v="26"/>
    <x v="4"/>
    <x v="26"/>
    <x v="1"/>
    <x v="25"/>
    <x v="2"/>
    <x v="26"/>
    <x v="26"/>
    <x v="26"/>
    <m/>
    <x v="0"/>
    <m/>
    <s v="Through local leaders"/>
    <x v="1"/>
    <x v="0"/>
    <x v="1"/>
    <x v="0"/>
    <x v="0"/>
    <m/>
    <x v="26"/>
    <x v="22"/>
    <x v="25"/>
    <n v="629522071"/>
    <s v="9b4d941d-1ef3-4cd3-83d3-8a205a85dbd4"/>
    <d v="2025-12-14T04:04:59"/>
    <m/>
    <m/>
    <s v="submitted_via_web"/>
    <m/>
    <s v="vJPceuhERXDBSEb667dJra"/>
    <m/>
    <s v="uuid:9b4d941d-1ef3-4cd3-83d3-8a205a85dbd4"/>
    <n v="39"/>
  </r>
  <r>
    <d v="2025-12-02T11:44:09"/>
    <d v="2025-12-14T07:06:24"/>
    <m/>
    <m/>
    <m/>
    <s v="Yes, I agree"/>
    <m/>
    <s v="Faith Kyengo"/>
    <d v="2025-12-02T00:00:00"/>
    <s v="Katulani"/>
    <s v="-2.351478 37.960855 860.0999999999999 7.300000190734863"/>
    <x v="27"/>
    <x v="27"/>
    <x v="26"/>
    <n v="7.3000001907348633"/>
    <m/>
    <s v="mercy Bita"/>
    <x v="0"/>
    <x v="4"/>
    <m/>
    <n v="2"/>
    <n v="3"/>
    <n v="741140185"/>
    <x v="1"/>
    <x v="0"/>
    <m/>
    <x v="7"/>
    <x v="0"/>
    <x v="1"/>
    <x v="1"/>
    <x v="0"/>
    <x v="0"/>
    <x v="1"/>
    <x v="1"/>
    <s v="Livestock keeping  Grass planting  Horticulture  Crop farming "/>
    <x v="1"/>
    <x v="2"/>
    <x v="1"/>
    <x v="1"/>
    <x v="1"/>
    <n v="3"/>
    <s v="KEFRI Local nursery Self-raised"/>
    <n v="1"/>
    <n v="0"/>
    <n v="1"/>
    <n v="0"/>
    <n v="1"/>
    <n v="0"/>
    <m/>
    <s v="Shade Timber Fodder Fruits Fuelwood Boundary marking Income generation Environmental reasons (erosion control, windbreak, etc)"/>
    <x v="0"/>
    <x v="0"/>
    <x v="1"/>
    <x v="0"/>
    <x v="1"/>
    <x v="0"/>
    <x v="1"/>
    <x v="0"/>
    <n v="0"/>
    <m/>
    <m/>
    <s v="Tamarindus indica (Tamarind) Melia Volkensii Neem (Azadirachta indica) Mango Lemon tree"/>
    <x v="1"/>
    <x v="0"/>
    <x v="0"/>
    <x v="0"/>
    <x v="0"/>
    <x v="0"/>
    <x v="1"/>
    <x v="0"/>
    <x v="0"/>
    <x v="0"/>
    <x v="0"/>
    <x v="0"/>
    <x v="1"/>
    <x v="0"/>
    <x v="1"/>
    <x v="0"/>
    <x v="0"/>
    <x v="0"/>
    <x v="0"/>
    <x v="1"/>
    <x v="0"/>
    <x v="0"/>
    <x v="0"/>
    <x v="1"/>
    <x v="0"/>
    <x v="0"/>
    <x v="1"/>
    <x v="0"/>
    <x v="0"/>
    <m/>
    <x v="2"/>
    <x v="27"/>
    <x v="3"/>
    <x v="27"/>
    <x v="4"/>
    <x v="27"/>
    <x v="1"/>
    <x v="26"/>
    <x v="2"/>
    <x v="27"/>
    <x v="24"/>
    <x v="27"/>
    <m/>
    <x v="0"/>
    <m/>
    <s v="Through local leaders"/>
    <x v="1"/>
    <x v="0"/>
    <x v="1"/>
    <x v="0"/>
    <x v="0"/>
    <m/>
    <x v="27"/>
    <x v="23"/>
    <x v="26"/>
    <n v="629522601"/>
    <s v="030faf5d-0e6d-425c-a762-168998d1a740"/>
    <d v="2025-12-14T04:06:25"/>
    <m/>
    <m/>
    <s v="submitted_via_web"/>
    <m/>
    <s v="vJPceuhERXDBSEb667dJra"/>
    <m/>
    <s v="uuid:030faf5d-0e6d-425c-a762-168998d1a740"/>
    <n v="40"/>
  </r>
  <r>
    <d v="2025-12-02T14:45:39"/>
    <d v="2025-12-14T07:08:41"/>
    <m/>
    <m/>
    <m/>
    <s v="Yes, I agree"/>
    <m/>
    <s v="Faith Kyengo"/>
    <d v="2025-12-02T00:00:00"/>
    <s v="Itangini village"/>
    <s v="-2.369168 37.991407 834 8.899999618530273"/>
    <x v="28"/>
    <x v="28"/>
    <x v="27"/>
    <n v="8.8999996185302734"/>
    <m/>
    <s v="Ambrose Mwangangi"/>
    <x v="1"/>
    <x v="4"/>
    <m/>
    <n v="2"/>
    <n v="4"/>
    <m/>
    <x v="3"/>
    <x v="2"/>
    <m/>
    <x v="7"/>
    <x v="0"/>
    <x v="1"/>
    <x v="1"/>
    <x v="0"/>
    <x v="0"/>
    <x v="0"/>
    <x v="1"/>
    <s v="Livestock keeping  Grass planting  Crop farming "/>
    <x v="1"/>
    <x v="2"/>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tortilis Delonix regia Mango Moringa oleifera Passion fruit Lemon tree"/>
    <x v="1"/>
    <x v="0"/>
    <x v="0"/>
    <x v="0"/>
    <x v="1"/>
    <x v="0"/>
    <x v="0"/>
    <x v="0"/>
    <x v="0"/>
    <x v="0"/>
    <x v="0"/>
    <x v="0"/>
    <x v="1"/>
    <x v="1"/>
    <x v="1"/>
    <x v="0"/>
    <x v="0"/>
    <x v="0"/>
    <x v="0"/>
    <x v="1"/>
    <x v="0"/>
    <x v="0"/>
    <x v="0"/>
    <x v="0"/>
    <x v="0"/>
    <x v="0"/>
    <x v="0"/>
    <x v="0"/>
    <x v="0"/>
    <m/>
    <x v="2"/>
    <x v="28"/>
    <x v="3"/>
    <x v="28"/>
    <x v="4"/>
    <x v="28"/>
    <x v="1"/>
    <x v="27"/>
    <x v="7"/>
    <x v="28"/>
    <x v="27"/>
    <x v="28"/>
    <m/>
    <x v="0"/>
    <m/>
    <s v="Through local leaders"/>
    <x v="1"/>
    <x v="0"/>
    <x v="1"/>
    <x v="0"/>
    <x v="0"/>
    <m/>
    <x v="28"/>
    <x v="24"/>
    <x v="27"/>
    <n v="629522998"/>
    <s v="b4b75a4b-69b5-4e6d-a234-7a0fc6a1575b"/>
    <d v="2025-12-14T04:08:44"/>
    <m/>
    <m/>
    <s v="submitted_via_web"/>
    <m/>
    <s v="vJPceuhERXDBSEb667dJra"/>
    <m/>
    <s v="uuid:b4b75a4b-69b5-4e6d-a234-7a0fc6a1575b"/>
    <n v="41"/>
  </r>
  <r>
    <d v="2025-12-02T15:49:17"/>
    <d v="2025-12-14T07:11:00"/>
    <m/>
    <m/>
    <m/>
    <s v="Yes, I agree"/>
    <m/>
    <s v="Faith Kyengo"/>
    <d v="2025-12-03T00:00:00"/>
    <s v="Nyayo village"/>
    <s v="-2.277528 38.027372 767.3000000000001 5.5"/>
    <x v="29"/>
    <x v="29"/>
    <x v="28"/>
    <n v="5.5"/>
    <m/>
    <s v="James Nyamai"/>
    <x v="1"/>
    <x v="5"/>
    <m/>
    <n v="3"/>
    <n v="1"/>
    <n v="721540508"/>
    <x v="1"/>
    <x v="1"/>
    <m/>
    <x v="3"/>
    <x v="0"/>
    <x v="0"/>
    <x v="1"/>
    <x v="1"/>
    <x v="1"/>
    <x v="1"/>
    <x v="1"/>
    <s v="Crop farming "/>
    <x v="2"/>
    <x v="1"/>
    <x v="2"/>
    <x v="1"/>
    <x v="1"/>
    <n v="52"/>
    <s v="KEFRI Self-raised"/>
    <n v="1"/>
    <n v="0"/>
    <n v="0"/>
    <n v="0"/>
    <n v="1"/>
    <n v="0"/>
    <m/>
    <s v="Shade Timber Fruits Fuelwood Income generation Environmental reasons (erosion control, windbreak, etc)"/>
    <x v="0"/>
    <x v="0"/>
    <x v="0"/>
    <x v="0"/>
    <x v="1"/>
    <x v="1"/>
    <x v="1"/>
    <x v="0"/>
    <n v="0"/>
    <m/>
    <m/>
    <s v="Melia Volkensii Neem (Azadirachta indica) Senna siamea  Senna abbreviata croton megalocarpus Mango Avocado Moringa oleifera Passion fruit Lemon tree"/>
    <x v="0"/>
    <x v="0"/>
    <x v="0"/>
    <x v="0"/>
    <x v="1"/>
    <x v="1"/>
    <x v="1"/>
    <x v="0"/>
    <x v="0"/>
    <x v="0"/>
    <x v="0"/>
    <x v="0"/>
    <x v="1"/>
    <x v="0"/>
    <x v="0"/>
    <x v="0"/>
    <x v="0"/>
    <x v="0"/>
    <x v="0"/>
    <x v="0"/>
    <x v="0"/>
    <x v="0"/>
    <x v="0"/>
    <x v="0"/>
    <x v="0"/>
    <x v="0"/>
    <x v="0"/>
    <x v="0"/>
    <x v="0"/>
    <m/>
    <x v="0"/>
    <x v="29"/>
    <x v="1"/>
    <x v="29"/>
    <x v="1"/>
    <x v="29"/>
    <x v="1"/>
    <x v="28"/>
    <x v="9"/>
    <x v="29"/>
    <x v="28"/>
    <x v="29"/>
    <m/>
    <x v="0"/>
    <m/>
    <s v="Through local leaders"/>
    <x v="1"/>
    <x v="0"/>
    <x v="1"/>
    <x v="0"/>
    <x v="0"/>
    <m/>
    <x v="29"/>
    <x v="25"/>
    <x v="28"/>
    <n v="629523426"/>
    <s v="6d7f96ff-e770-4c20-815d-0ac4f2c5667b"/>
    <d v="2025-12-14T04:11:02"/>
    <m/>
    <m/>
    <s v="submitted_via_web"/>
    <m/>
    <s v="vJPceuhERXDBSEb667dJra"/>
    <m/>
    <s v="uuid:6d7f96ff-e770-4c20-815d-0ac4f2c5667b"/>
    <n v="42"/>
  </r>
  <r>
    <d v="2025-12-03T11:18:21"/>
    <d v="2025-12-14T07:12:32"/>
    <m/>
    <m/>
    <m/>
    <s v="Yes, I agree"/>
    <m/>
    <s v="Faith Kyengo"/>
    <d v="2025-12-03T00:00:00"/>
    <s v="Kalingile village"/>
    <s v="-2.270565 38.023947 767.8000000000001 12.100000381469727"/>
    <x v="30"/>
    <x v="30"/>
    <x v="29"/>
    <n v="12.10000038146973"/>
    <m/>
    <s v="Lucia Ndinda"/>
    <x v="0"/>
    <x v="0"/>
    <m/>
    <n v="2"/>
    <n v="3"/>
    <n v="724743094"/>
    <x v="7"/>
    <x v="2"/>
    <m/>
    <x v="7"/>
    <x v="0"/>
    <x v="1"/>
    <x v="1"/>
    <x v="0"/>
    <x v="0"/>
    <x v="0"/>
    <x v="1"/>
    <s v="Livestock keeping  Horticulture  Crop farming "/>
    <x v="1"/>
    <x v="1"/>
    <x v="1"/>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Dalbergia melanoxylon Mango Terminalia brownii Moringa oleifera Passion fruit Lemon tree"/>
    <x v="1"/>
    <x v="0"/>
    <x v="0"/>
    <x v="0"/>
    <x v="1"/>
    <x v="0"/>
    <x v="1"/>
    <x v="0"/>
    <x v="0"/>
    <x v="0"/>
    <x v="0"/>
    <x v="0"/>
    <x v="0"/>
    <x v="0"/>
    <x v="1"/>
    <x v="0"/>
    <x v="0"/>
    <x v="0"/>
    <x v="0"/>
    <x v="1"/>
    <x v="0"/>
    <x v="0"/>
    <x v="1"/>
    <x v="0"/>
    <x v="0"/>
    <x v="0"/>
    <x v="0"/>
    <x v="0"/>
    <x v="0"/>
    <m/>
    <x v="0"/>
    <x v="30"/>
    <x v="1"/>
    <x v="30"/>
    <x v="3"/>
    <x v="30"/>
    <x v="11"/>
    <x v="29"/>
    <x v="2"/>
    <x v="30"/>
    <x v="29"/>
    <x v="30"/>
    <m/>
    <x v="0"/>
    <m/>
    <s v="Group distribution Through local leaders"/>
    <x v="0"/>
    <x v="0"/>
    <x v="1"/>
    <x v="0"/>
    <x v="0"/>
    <m/>
    <x v="30"/>
    <x v="26"/>
    <x v="29"/>
    <n v="629523760"/>
    <s v="58b88b96-6308-40ba-b40d-bac2b7b6f233"/>
    <d v="2025-12-14T04:12:34"/>
    <m/>
    <m/>
    <s v="submitted_via_web"/>
    <m/>
    <s v="vJPceuhERXDBSEb667dJra"/>
    <m/>
    <s v="uuid:58b88b96-6308-40ba-b40d-bac2b7b6f233"/>
    <n v="43"/>
  </r>
  <r>
    <d v="2025-12-03T13:08:52"/>
    <d v="2025-12-14T07:14:15"/>
    <m/>
    <m/>
    <m/>
    <s v="Yes, I agree"/>
    <m/>
    <s v="Faith Kyengo"/>
    <d v="2025-12-03T00:00:00"/>
    <s v="Kangei Village"/>
    <s v="-2.267655 38.031067 757.9000000000001 9.399999618530273"/>
    <x v="31"/>
    <x v="31"/>
    <x v="30"/>
    <n v="9.3999996185302734"/>
    <m/>
    <s v="Ruth Sammy"/>
    <x v="0"/>
    <x v="5"/>
    <m/>
    <n v="3"/>
    <n v="6"/>
    <n v="708822457"/>
    <x v="1"/>
    <x v="1"/>
    <m/>
    <x v="7"/>
    <x v="0"/>
    <x v="1"/>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Dalbergia melanoxylon Mango Avocado Terminalia brownii Passion fruit Lemon tree"/>
    <x v="1"/>
    <x v="0"/>
    <x v="0"/>
    <x v="0"/>
    <x v="1"/>
    <x v="0"/>
    <x v="1"/>
    <x v="0"/>
    <x v="0"/>
    <x v="0"/>
    <x v="0"/>
    <x v="0"/>
    <x v="0"/>
    <x v="0"/>
    <x v="1"/>
    <x v="0"/>
    <x v="0"/>
    <x v="0"/>
    <x v="0"/>
    <x v="0"/>
    <x v="0"/>
    <x v="0"/>
    <x v="1"/>
    <x v="1"/>
    <x v="0"/>
    <x v="0"/>
    <x v="0"/>
    <x v="0"/>
    <x v="0"/>
    <m/>
    <x v="0"/>
    <x v="31"/>
    <x v="5"/>
    <x v="31"/>
    <x v="0"/>
    <x v="31"/>
    <x v="9"/>
    <x v="30"/>
    <x v="2"/>
    <x v="31"/>
    <x v="30"/>
    <x v="31"/>
    <m/>
    <x v="0"/>
    <m/>
    <s v="Through local leaders"/>
    <x v="1"/>
    <x v="0"/>
    <x v="1"/>
    <x v="0"/>
    <x v="0"/>
    <m/>
    <x v="31"/>
    <x v="27"/>
    <x v="30"/>
    <n v="629524119"/>
    <s v="dde0a989-e5db-430d-b8ac-27d15a95bb3f"/>
    <d v="2025-12-14T04:14:17"/>
    <m/>
    <m/>
    <s v="submitted_via_web"/>
    <m/>
    <s v="vJPceuhERXDBSEb667dJra"/>
    <m/>
    <s v="uuid:dde0a989-e5db-430d-b8ac-27d15a95bb3f"/>
    <n v="44"/>
  </r>
  <r>
    <d v="2025-12-05T09:40:56"/>
    <d v="2025-12-14T07:16:25"/>
    <m/>
    <m/>
    <m/>
    <s v="Yes, I agree"/>
    <m/>
    <s v="Faith Kyengo"/>
    <d v="2025-12-05T00:00:00"/>
    <s v="Maluini village"/>
    <s v="-2.404925 38.085235 746 77.9000015258789"/>
    <x v="32"/>
    <x v="32"/>
    <x v="31"/>
    <n v="77.900001525878906"/>
    <m/>
    <s v="Juliana Kioko"/>
    <x v="0"/>
    <x v="3"/>
    <m/>
    <n v="2"/>
    <n v="4"/>
    <n v="707676253"/>
    <x v="1"/>
    <x v="2"/>
    <m/>
    <x v="7"/>
    <x v="0"/>
    <x v="1"/>
    <x v="1"/>
    <x v="0"/>
    <x v="0"/>
    <x v="0"/>
    <x v="1"/>
    <s v="Livestock keeping  Horticulture  Crop farming "/>
    <x v="1"/>
    <x v="1"/>
    <x v="1"/>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Senna siamea  Acacia melifera croton megalocarpus Mango Avocado Terminalia brownii Passion fruit Lemon tree"/>
    <x v="1"/>
    <x v="0"/>
    <x v="0"/>
    <x v="1"/>
    <x v="1"/>
    <x v="0"/>
    <x v="1"/>
    <x v="1"/>
    <x v="0"/>
    <x v="0"/>
    <x v="0"/>
    <x v="0"/>
    <x v="1"/>
    <x v="0"/>
    <x v="0"/>
    <x v="0"/>
    <x v="0"/>
    <x v="0"/>
    <x v="0"/>
    <x v="0"/>
    <x v="0"/>
    <x v="0"/>
    <x v="1"/>
    <x v="1"/>
    <x v="0"/>
    <x v="0"/>
    <x v="0"/>
    <x v="0"/>
    <x v="0"/>
    <m/>
    <x v="2"/>
    <x v="32"/>
    <x v="7"/>
    <x v="32"/>
    <x v="9"/>
    <x v="32"/>
    <x v="5"/>
    <x v="31"/>
    <x v="9"/>
    <x v="32"/>
    <x v="31"/>
    <x v="32"/>
    <m/>
    <x v="0"/>
    <m/>
    <s v="Through local leaders"/>
    <x v="1"/>
    <x v="0"/>
    <x v="1"/>
    <x v="0"/>
    <x v="0"/>
    <m/>
    <x v="32"/>
    <x v="28"/>
    <x v="31"/>
    <n v="629524499"/>
    <s v="c250f99f-d5dc-46cd-9d17-43538ee54802"/>
    <d v="2025-12-14T04:16:28"/>
    <m/>
    <m/>
    <s v="submitted_via_web"/>
    <m/>
    <s v="vJPceuhERXDBSEb667dJra"/>
    <m/>
    <s v="uuid:c250f99f-d5dc-46cd-9d17-43538ee54802"/>
    <n v="45"/>
  </r>
  <r>
    <d v="2025-12-05T11:16:15"/>
    <d v="2025-12-14T07:18:41"/>
    <m/>
    <m/>
    <m/>
    <s v="Yes, I agree"/>
    <m/>
    <s v="Faith Kyengo"/>
    <d v="2025-12-05T00:00:00"/>
    <s v="Masongeleni village"/>
    <s v="-2.406017 38.092958 752.4 16.5"/>
    <x v="33"/>
    <x v="33"/>
    <x v="32"/>
    <n v="16.5"/>
    <m/>
    <s v="Mary kioko"/>
    <x v="0"/>
    <x v="3"/>
    <m/>
    <n v="3"/>
    <n v="2"/>
    <n v="727016758"/>
    <x v="1"/>
    <x v="0"/>
    <m/>
    <x v="7"/>
    <x v="0"/>
    <x v="1"/>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Neem (Azadirachta indica) Senna siamea  Senna abbreviata Dalbergia melanoxylon croton megalocarpus Mango Terminalia brownii Moringa oleifera"/>
    <x v="1"/>
    <x v="1"/>
    <x v="0"/>
    <x v="0"/>
    <x v="1"/>
    <x v="1"/>
    <x v="1"/>
    <x v="0"/>
    <x v="0"/>
    <x v="0"/>
    <x v="0"/>
    <x v="0"/>
    <x v="0"/>
    <x v="0"/>
    <x v="0"/>
    <x v="0"/>
    <x v="0"/>
    <x v="0"/>
    <x v="0"/>
    <x v="1"/>
    <x v="0"/>
    <x v="0"/>
    <x v="1"/>
    <x v="0"/>
    <x v="0"/>
    <x v="0"/>
    <x v="1"/>
    <x v="1"/>
    <x v="0"/>
    <m/>
    <x v="1"/>
    <x v="33"/>
    <x v="2"/>
    <x v="33"/>
    <x v="10"/>
    <x v="33"/>
    <x v="11"/>
    <x v="32"/>
    <x v="7"/>
    <x v="33"/>
    <x v="32"/>
    <x v="33"/>
    <m/>
    <x v="0"/>
    <m/>
    <s v="Through local leaders"/>
    <x v="1"/>
    <x v="0"/>
    <x v="1"/>
    <x v="0"/>
    <x v="0"/>
    <m/>
    <x v="33"/>
    <x v="29"/>
    <x v="32"/>
    <n v="629524898"/>
    <s v="dc969cda-a833-459d-8eee-fa02bf558783"/>
    <d v="2025-12-14T04:18:42"/>
    <m/>
    <m/>
    <s v="submitted_via_web"/>
    <m/>
    <s v="vJPceuhERXDBSEb667dJra"/>
    <m/>
    <s v="uuid:dc969cda-a833-459d-8eee-fa02bf558783"/>
    <n v="46"/>
  </r>
  <r>
    <d v="2025-12-05T12:22:08"/>
    <d v="2025-12-14T07:20:03"/>
    <m/>
    <m/>
    <m/>
    <s v="Yes, I agree"/>
    <m/>
    <s v="Faith Kyengo"/>
    <d v="2025-12-05T00:00:00"/>
    <s v="Maiyani village"/>
    <s v="-2.40063 38.096963 733.8000000000001 9.399999618530273"/>
    <x v="34"/>
    <x v="34"/>
    <x v="33"/>
    <n v="9.3999996185302734"/>
    <m/>
    <s v="Patrick Kyule"/>
    <x v="1"/>
    <x v="3"/>
    <m/>
    <n v="4"/>
    <n v="2"/>
    <n v="790711610"/>
    <x v="1"/>
    <x v="2"/>
    <m/>
    <x v="7"/>
    <x v="0"/>
    <x v="1"/>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melifera Dalbergia melanoxylon croton megalocarpus Mango Terminalia brownii Moringa oleifera"/>
    <x v="1"/>
    <x v="0"/>
    <x v="0"/>
    <x v="0"/>
    <x v="1"/>
    <x v="0"/>
    <x v="1"/>
    <x v="1"/>
    <x v="0"/>
    <x v="0"/>
    <x v="0"/>
    <x v="0"/>
    <x v="0"/>
    <x v="0"/>
    <x v="0"/>
    <x v="0"/>
    <x v="0"/>
    <x v="0"/>
    <x v="0"/>
    <x v="1"/>
    <x v="0"/>
    <x v="0"/>
    <x v="1"/>
    <x v="0"/>
    <x v="0"/>
    <x v="0"/>
    <x v="1"/>
    <x v="1"/>
    <x v="0"/>
    <m/>
    <x v="0"/>
    <x v="34"/>
    <x v="5"/>
    <x v="34"/>
    <x v="0"/>
    <x v="34"/>
    <x v="8"/>
    <x v="33"/>
    <x v="10"/>
    <x v="34"/>
    <x v="33"/>
    <x v="34"/>
    <m/>
    <x v="0"/>
    <m/>
    <s v="Through local leaders"/>
    <x v="1"/>
    <x v="0"/>
    <x v="1"/>
    <x v="0"/>
    <x v="0"/>
    <m/>
    <x v="34"/>
    <x v="30"/>
    <x v="33"/>
    <n v="629525103"/>
    <s v="09b34412-9a68-46f6-a40b-0631e1b1fc01"/>
    <d v="2025-12-14T04:20:05"/>
    <m/>
    <m/>
    <s v="submitted_via_web"/>
    <m/>
    <s v="vJPceuhERXDBSEb667dJra"/>
    <m/>
    <s v="uuid:09b34412-9a68-46f6-a40b-0631e1b1fc01"/>
    <n v="47"/>
  </r>
  <r>
    <d v="2025-12-07T15:27:17"/>
    <d v="2025-12-14T07:21:06"/>
    <m/>
    <m/>
    <m/>
    <s v="Yes, I agree"/>
    <m/>
    <s v="Faith Kyengo"/>
    <d v="2025-12-08T00:00:00"/>
    <s v="Itangini village"/>
    <s v="-2.370273 37.990424 880.5 91.56600189208984"/>
    <x v="35"/>
    <x v="35"/>
    <x v="34"/>
    <n v="91.566001892089844"/>
    <m/>
    <s v="Janet Muthoki"/>
    <x v="0"/>
    <x v="2"/>
    <m/>
    <n v="3"/>
    <n v="2"/>
    <n v="721225439"/>
    <x v="1"/>
    <x v="0"/>
    <m/>
    <x v="7"/>
    <x v="0"/>
    <x v="1"/>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Senna abbreviata Dalbergia melanoxylon croton megalocarpus Mango Terminalia brownii Moringa oleifera"/>
    <x v="1"/>
    <x v="0"/>
    <x v="0"/>
    <x v="0"/>
    <x v="1"/>
    <x v="1"/>
    <x v="1"/>
    <x v="0"/>
    <x v="0"/>
    <x v="0"/>
    <x v="0"/>
    <x v="0"/>
    <x v="0"/>
    <x v="0"/>
    <x v="0"/>
    <x v="0"/>
    <x v="0"/>
    <x v="0"/>
    <x v="0"/>
    <x v="1"/>
    <x v="0"/>
    <x v="0"/>
    <x v="1"/>
    <x v="0"/>
    <x v="0"/>
    <x v="0"/>
    <x v="1"/>
    <x v="1"/>
    <x v="0"/>
    <m/>
    <x v="0"/>
    <x v="35"/>
    <x v="5"/>
    <x v="35"/>
    <x v="11"/>
    <x v="35"/>
    <x v="11"/>
    <x v="34"/>
    <x v="9"/>
    <x v="35"/>
    <x v="34"/>
    <x v="35"/>
    <m/>
    <x v="0"/>
    <m/>
    <s v="Through local leaders"/>
    <x v="1"/>
    <x v="0"/>
    <x v="1"/>
    <x v="0"/>
    <x v="0"/>
    <m/>
    <x v="35"/>
    <x v="31"/>
    <x v="34"/>
    <n v="629525401"/>
    <s v="46d0a652-24e6-4aa7-9a49-6b50a9efb806"/>
    <d v="2025-12-14T04:21:08"/>
    <m/>
    <m/>
    <s v="submitted_via_web"/>
    <m/>
    <s v="vJPceuhERXDBSEb667dJra"/>
    <m/>
    <s v="uuid:46d0a652-24e6-4aa7-9a49-6b50a9efb806"/>
    <n v="48"/>
  </r>
  <r>
    <d v="2025-12-08T14:51:12"/>
    <d v="2025-12-14T07:22:19"/>
    <m/>
    <m/>
    <m/>
    <s v="Yes, I agree"/>
    <m/>
    <s v="Faith Kyengo"/>
    <d v="2025-12-08T00:00:00"/>
    <s v="Itangini village"/>
    <s v="-2.371818 37.98838 821.0999999999999 8.699999809265137"/>
    <x v="36"/>
    <x v="36"/>
    <x v="35"/>
    <n v="8.6999998092651367"/>
    <m/>
    <s v="Faustina Ngina"/>
    <x v="0"/>
    <x v="4"/>
    <m/>
    <n v="1"/>
    <n v="2"/>
    <m/>
    <x v="7"/>
    <x v="1"/>
    <m/>
    <x v="5"/>
    <x v="0"/>
    <x v="0"/>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melifera Dalbergia melanoxylon croton megalocarpus Mango Terminalia brownii Moringa oleifera"/>
    <x v="1"/>
    <x v="0"/>
    <x v="0"/>
    <x v="0"/>
    <x v="1"/>
    <x v="0"/>
    <x v="1"/>
    <x v="1"/>
    <x v="0"/>
    <x v="0"/>
    <x v="0"/>
    <x v="0"/>
    <x v="0"/>
    <x v="0"/>
    <x v="0"/>
    <x v="0"/>
    <x v="0"/>
    <x v="0"/>
    <x v="0"/>
    <x v="1"/>
    <x v="0"/>
    <x v="0"/>
    <x v="1"/>
    <x v="0"/>
    <x v="0"/>
    <x v="0"/>
    <x v="1"/>
    <x v="1"/>
    <x v="0"/>
    <m/>
    <x v="0"/>
    <x v="36"/>
    <x v="8"/>
    <x v="36"/>
    <x v="3"/>
    <x v="36"/>
    <x v="11"/>
    <x v="35"/>
    <x v="11"/>
    <x v="36"/>
    <x v="35"/>
    <x v="36"/>
    <m/>
    <x v="1"/>
    <m/>
    <s v="Through local leaders"/>
    <x v="1"/>
    <x v="0"/>
    <x v="1"/>
    <x v="0"/>
    <x v="0"/>
    <m/>
    <x v="36"/>
    <x v="32"/>
    <x v="35"/>
    <n v="629525792"/>
    <s v="46614259-ad9b-4ec3-9105-07e7c3b41473"/>
    <d v="2025-12-14T04:22:20"/>
    <m/>
    <m/>
    <s v="submitted_via_web"/>
    <m/>
    <s v="vJPceuhERXDBSEb667dJra"/>
    <m/>
    <s v="uuid:46614259-ad9b-4ec3-9105-07e7c3b41473"/>
    <n v="49"/>
  </r>
  <r>
    <d v="2025-12-09T10:23:08"/>
    <d v="2025-12-14T07:25:21"/>
    <m/>
    <m/>
    <m/>
    <s v="Yes, I agree"/>
    <m/>
    <s v="Faith Kyengo"/>
    <d v="2025-12-09T00:00:00"/>
    <s v="Kyumani A"/>
    <s v="-2.421028 38.094892 749.8000000000001 11.600000381469727"/>
    <x v="37"/>
    <x v="37"/>
    <x v="36"/>
    <n v="11.60000038146973"/>
    <m/>
    <s v="William Munyao"/>
    <x v="1"/>
    <x v="2"/>
    <m/>
    <n v="4"/>
    <n v="2"/>
    <n v="721966657"/>
    <x v="1"/>
    <x v="0"/>
    <m/>
    <x v="7"/>
    <x v="0"/>
    <x v="1"/>
    <x v="1"/>
    <x v="0"/>
    <x v="0"/>
    <x v="0"/>
    <x v="1"/>
    <s v="Livestock keeping  Horticulture  Crop farming "/>
    <x v="1"/>
    <x v="1"/>
    <x v="1"/>
    <x v="1"/>
    <x v="1"/>
    <m/>
    <s v="KEFRI Local nursery Self-raised"/>
    <n v="1"/>
    <n v="0"/>
    <n v="1"/>
    <n v="0"/>
    <n v="1"/>
    <n v="0"/>
    <m/>
    <s v="Shade Timber Fodder Fruits Fuelwood Boundary marking Income generation Environmental reasons (erosion control, windbreak, etc)"/>
    <x v="0"/>
    <x v="0"/>
    <x v="1"/>
    <x v="0"/>
    <x v="1"/>
    <x v="0"/>
    <x v="1"/>
    <x v="0"/>
    <n v="0"/>
    <m/>
    <m/>
    <s v="Tamarindus indica (Tamarind) Melia Volkensii Neem (Azadirachta indica) Senna siamea  Acacia tortilis Mango Terminalia brownii Moringa oleifera Passion fruit Lemon tree"/>
    <x v="1"/>
    <x v="0"/>
    <x v="0"/>
    <x v="0"/>
    <x v="1"/>
    <x v="0"/>
    <x v="0"/>
    <x v="0"/>
    <x v="0"/>
    <x v="0"/>
    <x v="0"/>
    <x v="0"/>
    <x v="1"/>
    <x v="0"/>
    <x v="1"/>
    <x v="0"/>
    <x v="0"/>
    <x v="0"/>
    <x v="0"/>
    <x v="1"/>
    <x v="0"/>
    <x v="0"/>
    <x v="1"/>
    <x v="0"/>
    <x v="0"/>
    <x v="0"/>
    <x v="0"/>
    <x v="0"/>
    <x v="0"/>
    <m/>
    <x v="2"/>
    <x v="37"/>
    <x v="3"/>
    <x v="37"/>
    <x v="12"/>
    <x v="37"/>
    <x v="8"/>
    <x v="36"/>
    <x v="2"/>
    <x v="37"/>
    <x v="24"/>
    <x v="37"/>
    <m/>
    <x v="0"/>
    <m/>
    <s v="Through local leaders"/>
    <x v="1"/>
    <x v="0"/>
    <x v="1"/>
    <x v="0"/>
    <x v="0"/>
    <m/>
    <x v="37"/>
    <x v="33"/>
    <x v="36"/>
    <n v="629526634"/>
    <s v="5bbc4581-714e-41b4-88f2-e9f756797389"/>
    <d v="2025-12-14T04:25:23"/>
    <m/>
    <m/>
    <s v="submitted_via_web"/>
    <m/>
    <s v="vJPceuhERXDBSEb667dJra"/>
    <m/>
    <s v="uuid:5bbc4581-714e-41b4-88f2-e9f756797389"/>
    <n v="50"/>
  </r>
  <r>
    <d v="2025-12-09T11:57:02"/>
    <d v="2025-12-14T07:26:39"/>
    <m/>
    <m/>
    <m/>
    <s v="Yes, I agree"/>
    <m/>
    <s v="Faith Kyengo"/>
    <d v="2025-12-09T00:00:00"/>
    <s v="Maiyani village"/>
    <s v="-2.400185 38.09779 745.4 8.199999809265137"/>
    <x v="38"/>
    <x v="38"/>
    <x v="37"/>
    <n v="8.1999998092651367"/>
    <m/>
    <s v="Janniffer Syombua"/>
    <x v="0"/>
    <x v="1"/>
    <m/>
    <n v="3"/>
    <n v="1"/>
    <n v="704245859"/>
    <x v="9"/>
    <x v="2"/>
    <m/>
    <x v="7"/>
    <x v="0"/>
    <x v="1"/>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tortilis Acacia melifera Dalbergia melanoxylon Mango Terminalia brownii Lemon tree"/>
    <x v="1"/>
    <x v="0"/>
    <x v="0"/>
    <x v="0"/>
    <x v="1"/>
    <x v="0"/>
    <x v="0"/>
    <x v="1"/>
    <x v="0"/>
    <x v="0"/>
    <x v="0"/>
    <x v="0"/>
    <x v="0"/>
    <x v="0"/>
    <x v="1"/>
    <x v="0"/>
    <x v="0"/>
    <x v="0"/>
    <x v="0"/>
    <x v="1"/>
    <x v="0"/>
    <x v="0"/>
    <x v="1"/>
    <x v="1"/>
    <x v="0"/>
    <x v="0"/>
    <x v="1"/>
    <x v="0"/>
    <x v="0"/>
    <m/>
    <x v="0"/>
    <x v="38"/>
    <x v="0"/>
    <x v="38"/>
    <x v="13"/>
    <x v="38"/>
    <x v="1"/>
    <x v="37"/>
    <x v="11"/>
    <x v="38"/>
    <x v="24"/>
    <x v="38"/>
    <m/>
    <x v="0"/>
    <m/>
    <s v="Through local leaders"/>
    <x v="1"/>
    <x v="0"/>
    <x v="1"/>
    <x v="0"/>
    <x v="0"/>
    <m/>
    <x v="38"/>
    <x v="34"/>
    <x v="37"/>
    <n v="629526995"/>
    <s v="5c23807e-c8db-44f2-9465-4f7f04bb9df3"/>
    <d v="2025-12-14T04:26:41"/>
    <m/>
    <m/>
    <s v="submitted_via_web"/>
    <m/>
    <s v="vJPceuhERXDBSEb667dJra"/>
    <m/>
    <s v="uuid:5c23807e-c8db-44f2-9465-4f7f04bb9df3"/>
    <n v="51"/>
  </r>
  <r>
    <d v="2025-12-10T13:21:50"/>
    <d v="2025-12-14T07:29:38"/>
    <m/>
    <m/>
    <m/>
    <s v="Yes, I agree"/>
    <m/>
    <s v="Faith Kyengo"/>
    <d v="2025-12-12T00:00:00"/>
    <s v="Kalembwani village"/>
    <s v="-2.390535 37.957903 743.6 7"/>
    <x v="39"/>
    <x v="39"/>
    <x v="38"/>
    <n v="7"/>
    <m/>
    <s v="Eunice Mango"/>
    <x v="0"/>
    <x v="2"/>
    <m/>
    <n v="5"/>
    <n v="2"/>
    <n v="729092288"/>
    <x v="1"/>
    <x v="1"/>
    <m/>
    <x v="7"/>
    <x v="0"/>
    <x v="1"/>
    <x v="1"/>
    <x v="0"/>
    <x v="0"/>
    <x v="1"/>
    <x v="1"/>
    <s v="Livestock keeping  Grass planting  Crop farming "/>
    <x v="1"/>
    <x v="2"/>
    <x v="2"/>
    <x v="1"/>
    <x v="1"/>
    <n v="6"/>
    <s v="KEFRI Local nursery NGO Self-raised"/>
    <n v="1"/>
    <n v="0"/>
    <n v="1"/>
    <n v="1"/>
    <n v="1"/>
    <n v="0"/>
    <m/>
    <s v="Shade Timber Fodder Fruits Fuelwood Boundary marking Income generation Environmental reasons (erosion control, windbreak, etc)"/>
    <x v="0"/>
    <x v="0"/>
    <x v="1"/>
    <x v="0"/>
    <x v="1"/>
    <x v="0"/>
    <x v="1"/>
    <x v="0"/>
    <n v="0"/>
    <m/>
    <m/>
    <s v="Melia Volkensii Neem (Azadirachta indica) Acacia melifera Dalbergia melanoxylon croton megalocarpus Mango Avocado Balanites aegyptiaca Terminalia brownii Passion fruit Lemon tree"/>
    <x v="0"/>
    <x v="0"/>
    <x v="0"/>
    <x v="0"/>
    <x v="0"/>
    <x v="0"/>
    <x v="1"/>
    <x v="1"/>
    <x v="0"/>
    <x v="0"/>
    <x v="0"/>
    <x v="0"/>
    <x v="0"/>
    <x v="0"/>
    <x v="0"/>
    <x v="0"/>
    <x v="0"/>
    <x v="0"/>
    <x v="0"/>
    <x v="0"/>
    <x v="0"/>
    <x v="1"/>
    <x v="1"/>
    <x v="1"/>
    <x v="0"/>
    <x v="0"/>
    <x v="0"/>
    <x v="0"/>
    <x v="0"/>
    <m/>
    <x v="2"/>
    <x v="39"/>
    <x v="7"/>
    <x v="39"/>
    <x v="1"/>
    <x v="39"/>
    <x v="5"/>
    <x v="38"/>
    <x v="12"/>
    <x v="39"/>
    <x v="36"/>
    <x v="29"/>
    <m/>
    <x v="0"/>
    <m/>
    <s v="Through local leaders"/>
    <x v="1"/>
    <x v="0"/>
    <x v="1"/>
    <x v="0"/>
    <x v="0"/>
    <m/>
    <x v="39"/>
    <x v="35"/>
    <x v="38"/>
    <n v="629527536"/>
    <s v="b487b62e-77df-43e8-8958-0e9ffde5436d"/>
    <d v="2025-12-14T04:29:41"/>
    <m/>
    <m/>
    <s v="submitted_via_web"/>
    <m/>
    <s v="vJPceuhERXDBSEb667dJra"/>
    <m/>
    <s v="uuid:b487b62e-77df-43e8-8958-0e9ffde5436d"/>
    <n v="52"/>
  </r>
  <r>
    <d v="2025-12-12T10:00:58"/>
    <d v="2025-12-14T07:30:17"/>
    <m/>
    <m/>
    <m/>
    <s v="Yes, I agree"/>
    <m/>
    <s v="Faith Kyengo"/>
    <d v="2025-12-12T00:00:00"/>
    <s v="Kalembwani village"/>
    <s v="-2.395342 37.965102 867.8 5.199999809265137"/>
    <x v="40"/>
    <x v="40"/>
    <x v="39"/>
    <n v="5.1999998092651367"/>
    <m/>
    <s v="Richard Musee"/>
    <x v="1"/>
    <x v="1"/>
    <m/>
    <n v="2"/>
    <n v="3"/>
    <n v="726324347"/>
    <x v="1"/>
    <x v="0"/>
    <m/>
    <x v="7"/>
    <x v="0"/>
    <x v="1"/>
    <x v="1"/>
    <x v="0"/>
    <x v="0"/>
    <x v="0"/>
    <x v="1"/>
    <s v="Livestock keeping  Crop farming "/>
    <x v="1"/>
    <x v="1"/>
    <x v="2"/>
    <x v="1"/>
    <x v="1"/>
    <m/>
    <s v="KEFRI Local nursery NGO"/>
    <n v="1"/>
    <n v="0"/>
    <n v="1"/>
    <n v="1"/>
    <n v="0"/>
    <n v="0"/>
    <m/>
    <s v="Shade Timber Fodder Fruits Fuelwood Boundary marking Income generation Environmental reasons (erosion control, windbreak, etc)"/>
    <x v="0"/>
    <x v="0"/>
    <x v="1"/>
    <x v="0"/>
    <x v="1"/>
    <x v="0"/>
    <x v="1"/>
    <x v="0"/>
    <n v="0"/>
    <m/>
    <m/>
    <s v="Melia Volkensii Melia azederach Neem (Azadirachta indica) Senna siamea  Acacia tortilis Acacia melifera Mango Terminalia brownii Moringa oleifera Lemon tree"/>
    <x v="0"/>
    <x v="0"/>
    <x v="1"/>
    <x v="0"/>
    <x v="1"/>
    <x v="0"/>
    <x v="0"/>
    <x v="1"/>
    <x v="0"/>
    <x v="0"/>
    <x v="0"/>
    <x v="0"/>
    <x v="1"/>
    <x v="0"/>
    <x v="1"/>
    <x v="0"/>
    <x v="0"/>
    <x v="0"/>
    <x v="0"/>
    <x v="1"/>
    <x v="0"/>
    <x v="0"/>
    <x v="1"/>
    <x v="0"/>
    <x v="0"/>
    <x v="0"/>
    <x v="1"/>
    <x v="0"/>
    <x v="0"/>
    <m/>
    <x v="0"/>
    <x v="40"/>
    <x v="9"/>
    <x v="40"/>
    <x v="3"/>
    <x v="40"/>
    <x v="9"/>
    <x v="39"/>
    <x v="11"/>
    <x v="40"/>
    <x v="37"/>
    <x v="39"/>
    <m/>
    <x v="0"/>
    <m/>
    <s v="Through local leaders"/>
    <x v="1"/>
    <x v="0"/>
    <x v="1"/>
    <x v="0"/>
    <x v="0"/>
    <m/>
    <x v="40"/>
    <x v="36"/>
    <x v="39"/>
    <n v="629527630"/>
    <s v="89f7ed59-a399-4d68-9e64-33fee5bc7ac4"/>
    <d v="2025-12-14T04:30:18"/>
    <m/>
    <m/>
    <s v="submitted_via_web"/>
    <m/>
    <s v="vJPceuhERXDBSEb667dJra"/>
    <m/>
    <s v="uuid:89f7ed59-a399-4d68-9e64-33fee5bc7ac4"/>
    <n v="53"/>
  </r>
  <r>
    <d v="2025-12-10T10:25:41"/>
    <d v="2025-12-14T07:31:17"/>
    <m/>
    <m/>
    <m/>
    <s v="Yes, I agree"/>
    <m/>
    <s v="Faith Kyengo"/>
    <d v="2025-12-10T00:00:00"/>
    <s v="Maiyani village"/>
    <s v="-2.401513 38.09814787 795.9 16.700000276293945"/>
    <x v="41"/>
    <x v="41"/>
    <x v="40"/>
    <n v="16.700000276293949"/>
    <m/>
    <s v="Paul  Kyule"/>
    <x v="1"/>
    <x v="3"/>
    <m/>
    <n v="2"/>
    <n v="3"/>
    <n v="724599304"/>
    <x v="1"/>
    <x v="2"/>
    <m/>
    <x v="7"/>
    <x v="0"/>
    <x v="1"/>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tortilis Acacia melifera Dalbergia melanoxylon Mango Terminalia brownii Moringa oleifera"/>
    <x v="1"/>
    <x v="0"/>
    <x v="0"/>
    <x v="0"/>
    <x v="1"/>
    <x v="0"/>
    <x v="0"/>
    <x v="1"/>
    <x v="0"/>
    <x v="0"/>
    <x v="0"/>
    <x v="0"/>
    <x v="0"/>
    <x v="0"/>
    <x v="1"/>
    <x v="0"/>
    <x v="0"/>
    <x v="0"/>
    <x v="0"/>
    <x v="1"/>
    <x v="0"/>
    <x v="0"/>
    <x v="1"/>
    <x v="0"/>
    <x v="0"/>
    <x v="0"/>
    <x v="1"/>
    <x v="1"/>
    <x v="0"/>
    <m/>
    <x v="0"/>
    <x v="41"/>
    <x v="5"/>
    <x v="41"/>
    <x v="13"/>
    <x v="41"/>
    <x v="10"/>
    <x v="40"/>
    <x v="13"/>
    <x v="41"/>
    <x v="24"/>
    <x v="29"/>
    <m/>
    <x v="0"/>
    <m/>
    <s v="Through local leaders"/>
    <x v="1"/>
    <x v="0"/>
    <x v="1"/>
    <x v="0"/>
    <x v="0"/>
    <m/>
    <x v="41"/>
    <x v="37"/>
    <x v="40"/>
    <n v="629527835"/>
    <s v="49b63502-150b-4493-917a-0cfb0c2b2049"/>
    <d v="2025-12-14T04:31:19"/>
    <m/>
    <m/>
    <s v="submitted_via_web"/>
    <m/>
    <s v="vJPceuhERXDBSEb667dJra"/>
    <m/>
    <s v="uuid:49b63502-150b-4493-917a-0cfb0c2b2049"/>
    <n v="54"/>
  </r>
  <r>
    <d v="2025-12-14T07:31:18"/>
    <d v="2025-12-16T16:09:59"/>
    <m/>
    <m/>
    <m/>
    <s v="Yes, I agree"/>
    <m/>
    <s v="Faith Kyengo"/>
    <d v="2025-12-15T00:00:00"/>
    <s v="Salama village"/>
    <s v="-2.448337 37.966603 925.8 8.399999618530273"/>
    <x v="42"/>
    <x v="42"/>
    <x v="41"/>
    <n v="8.3999996185302734"/>
    <m/>
    <s v="Stephen Nzioka"/>
    <x v="1"/>
    <x v="1"/>
    <m/>
    <n v="2"/>
    <n v="4"/>
    <n v="725111645"/>
    <x v="3"/>
    <x v="0"/>
    <m/>
    <x v="5"/>
    <x v="0"/>
    <x v="0"/>
    <x v="1"/>
    <x v="0"/>
    <x v="0"/>
    <x v="0"/>
    <x v="1"/>
    <s v="Horticulture  Crop farming "/>
    <x v="2"/>
    <x v="1"/>
    <x v="1"/>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melifera Dalbergia melanoxylon Mango Terminalia brownii Passion fruit Lemon tree"/>
    <x v="1"/>
    <x v="0"/>
    <x v="0"/>
    <x v="0"/>
    <x v="1"/>
    <x v="0"/>
    <x v="1"/>
    <x v="1"/>
    <x v="0"/>
    <x v="0"/>
    <x v="0"/>
    <x v="0"/>
    <x v="0"/>
    <x v="0"/>
    <x v="1"/>
    <x v="0"/>
    <x v="0"/>
    <x v="0"/>
    <x v="0"/>
    <x v="1"/>
    <x v="0"/>
    <x v="0"/>
    <x v="1"/>
    <x v="1"/>
    <x v="0"/>
    <x v="0"/>
    <x v="0"/>
    <x v="0"/>
    <x v="0"/>
    <m/>
    <x v="0"/>
    <x v="42"/>
    <x v="5"/>
    <x v="42"/>
    <x v="0"/>
    <x v="42"/>
    <x v="8"/>
    <x v="41"/>
    <x v="3"/>
    <x v="42"/>
    <x v="38"/>
    <x v="40"/>
    <m/>
    <x v="0"/>
    <m/>
    <s v="Through local leaders"/>
    <x v="1"/>
    <x v="0"/>
    <x v="1"/>
    <x v="0"/>
    <x v="0"/>
    <m/>
    <x v="42"/>
    <x v="38"/>
    <x v="41"/>
    <n v="634186210"/>
    <s v="96200af9-a2f0-49b1-8025-536e3f3d0ff7"/>
    <d v="2025-12-19T16:20:58"/>
    <m/>
    <m/>
    <s v="submitted_via_web"/>
    <m/>
    <s v="vJPceuhERXDBSEb667dJra"/>
    <m/>
    <s v="uuid:96200af9-a2f0-49b1-8025-536e3f3d0ff7"/>
    <n v="55"/>
  </r>
  <r>
    <d v="2025-12-05T10:45:26"/>
    <d v="2025-12-19T10:20:34"/>
    <m/>
    <m/>
    <m/>
    <s v="Yes, I agree"/>
    <m/>
    <s v="Faith Kyengo"/>
    <d v="2025-12-05T00:00:00"/>
    <s v="Maiyani village"/>
    <s v="-2.402393 38.088343 743.8000000000001 9.899999618530273"/>
    <x v="43"/>
    <x v="43"/>
    <x v="42"/>
    <n v="9.8999996185302734"/>
    <m/>
    <s v="Mutono Mutindi"/>
    <x v="0"/>
    <x v="8"/>
    <m/>
    <n v="2"/>
    <n v="2"/>
    <n v="702777943"/>
    <x v="1"/>
    <x v="2"/>
    <m/>
    <x v="5"/>
    <x v="0"/>
    <x v="0"/>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Dalbergia melanoxylon croton megalocarpus Mango Terminalia brownii Moringa oleifera Passion fruit"/>
    <x v="1"/>
    <x v="0"/>
    <x v="0"/>
    <x v="0"/>
    <x v="1"/>
    <x v="0"/>
    <x v="1"/>
    <x v="0"/>
    <x v="0"/>
    <x v="0"/>
    <x v="0"/>
    <x v="0"/>
    <x v="0"/>
    <x v="0"/>
    <x v="0"/>
    <x v="0"/>
    <x v="0"/>
    <x v="0"/>
    <x v="0"/>
    <x v="1"/>
    <x v="0"/>
    <x v="0"/>
    <x v="1"/>
    <x v="0"/>
    <x v="0"/>
    <x v="0"/>
    <x v="0"/>
    <x v="1"/>
    <x v="0"/>
    <m/>
    <x v="1"/>
    <x v="43"/>
    <x v="2"/>
    <x v="43"/>
    <x v="7"/>
    <x v="43"/>
    <x v="12"/>
    <x v="42"/>
    <x v="11"/>
    <x v="43"/>
    <x v="34"/>
    <x v="41"/>
    <m/>
    <x v="0"/>
    <m/>
    <s v="Through local leaders"/>
    <x v="1"/>
    <x v="0"/>
    <x v="1"/>
    <x v="0"/>
    <x v="0"/>
    <m/>
    <x v="43"/>
    <x v="39"/>
    <x v="42"/>
    <n v="634186230"/>
    <s v="79ac22f5-21a8-40cc-87d4-63e5d901b034"/>
    <d v="2025-12-19T16:21:00"/>
    <m/>
    <m/>
    <s v="submitted_via_web"/>
    <m/>
    <s v="vJPceuhERXDBSEb667dJra"/>
    <m/>
    <s v="uuid:79ac22f5-21a8-40cc-87d4-63e5d901b034"/>
    <n v="57"/>
  </r>
  <r>
    <d v="2025-12-08T15:40:44"/>
    <d v="2025-12-19T10:21:15"/>
    <m/>
    <m/>
    <m/>
    <s v="Yes, I agree"/>
    <m/>
    <s v="Faith Kyengo"/>
    <d v="2025-12-09T00:00:00"/>
    <s v="Maluini village"/>
    <s v="-2.415952 38.08039 772.9000000000001 6.199999809265137"/>
    <x v="44"/>
    <x v="44"/>
    <x v="43"/>
    <n v="6.1999998092651367"/>
    <m/>
    <s v="Kyaka musyimi"/>
    <x v="1"/>
    <x v="0"/>
    <m/>
    <n v="2"/>
    <n v="2"/>
    <m/>
    <x v="1"/>
    <x v="1"/>
    <m/>
    <x v="7"/>
    <x v="0"/>
    <x v="1"/>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Melia azederach Neem (Azadirachta indica) Senna siamea  Dalbergia melanoxylon croton megalocarpus Mango Terminalia brownii Moringa oleifera"/>
    <x v="1"/>
    <x v="0"/>
    <x v="1"/>
    <x v="0"/>
    <x v="1"/>
    <x v="0"/>
    <x v="1"/>
    <x v="0"/>
    <x v="0"/>
    <x v="0"/>
    <x v="0"/>
    <x v="0"/>
    <x v="0"/>
    <x v="0"/>
    <x v="0"/>
    <x v="0"/>
    <x v="0"/>
    <x v="0"/>
    <x v="0"/>
    <x v="1"/>
    <x v="0"/>
    <x v="0"/>
    <x v="1"/>
    <x v="0"/>
    <x v="0"/>
    <x v="0"/>
    <x v="1"/>
    <x v="1"/>
    <x v="0"/>
    <m/>
    <x v="0"/>
    <x v="44"/>
    <x v="5"/>
    <x v="44"/>
    <x v="7"/>
    <x v="44"/>
    <x v="12"/>
    <x v="43"/>
    <x v="6"/>
    <x v="44"/>
    <x v="39"/>
    <x v="42"/>
    <m/>
    <x v="0"/>
    <m/>
    <s v="Through local leaders Through school/youth groups"/>
    <x v="1"/>
    <x v="0"/>
    <x v="1"/>
    <x v="1"/>
    <x v="0"/>
    <m/>
    <x v="44"/>
    <x v="40"/>
    <x v="40"/>
    <n v="634186242"/>
    <s v="2bfc2686-7306-4258-81cd-fcf75d77dbd7"/>
    <d v="2025-12-19T16:21:01"/>
    <m/>
    <m/>
    <s v="submitted_via_web"/>
    <m/>
    <s v="vJPceuhERXDBSEb667dJra"/>
    <m/>
    <s v="uuid:2bfc2686-7306-4258-81cd-fcf75d77dbd7"/>
    <n v="58"/>
  </r>
  <r>
    <d v="2025-12-17T13:26:23"/>
    <d v="2025-12-19T10:32:11"/>
    <m/>
    <m/>
    <m/>
    <s v="Yes, I agree"/>
    <m/>
    <s v="Faith Kyengo"/>
    <d v="2025-12-17T00:00:00"/>
    <s v="Usalama village"/>
    <s v="-2.458397 37.968317 952.1999999999999 10.699999809265137"/>
    <x v="45"/>
    <x v="45"/>
    <x v="44"/>
    <n v="10.69999980926514"/>
    <m/>
    <s v="Mwanza Nzioka"/>
    <x v="1"/>
    <x v="5"/>
    <m/>
    <n v="2"/>
    <n v="3"/>
    <n v="798838441"/>
    <x v="10"/>
    <x v="0"/>
    <m/>
    <x v="5"/>
    <x v="0"/>
    <x v="0"/>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Melia azederach Neem (Azadirachta indica) Senna siamea  Acacia melifera Dalbergia melanoxylon Mango Terminalia brownii Passion fruit"/>
    <x v="1"/>
    <x v="0"/>
    <x v="1"/>
    <x v="0"/>
    <x v="1"/>
    <x v="0"/>
    <x v="1"/>
    <x v="1"/>
    <x v="0"/>
    <x v="0"/>
    <x v="0"/>
    <x v="0"/>
    <x v="0"/>
    <x v="0"/>
    <x v="1"/>
    <x v="0"/>
    <x v="0"/>
    <x v="0"/>
    <x v="0"/>
    <x v="1"/>
    <x v="0"/>
    <x v="0"/>
    <x v="1"/>
    <x v="1"/>
    <x v="0"/>
    <x v="0"/>
    <x v="0"/>
    <x v="1"/>
    <x v="0"/>
    <m/>
    <x v="0"/>
    <x v="45"/>
    <x v="5"/>
    <x v="45"/>
    <x v="0"/>
    <x v="45"/>
    <x v="8"/>
    <x v="44"/>
    <x v="14"/>
    <x v="45"/>
    <x v="40"/>
    <x v="29"/>
    <m/>
    <x v="0"/>
    <m/>
    <s v="Through local leaders"/>
    <x v="1"/>
    <x v="0"/>
    <x v="1"/>
    <x v="0"/>
    <x v="0"/>
    <m/>
    <x v="45"/>
    <x v="41"/>
    <x v="43"/>
    <n v="634186257"/>
    <s v="4095317c-1f34-48d8-92ba-1f73089fa790"/>
    <d v="2025-12-19T16:21:02"/>
    <m/>
    <m/>
    <s v="submitted_via_web"/>
    <m/>
    <s v="vJPceuhERXDBSEb667dJra"/>
    <m/>
    <s v="uuid:4095317c-1f34-48d8-92ba-1f73089fa790"/>
    <n v="59"/>
  </r>
  <r>
    <d v="2025-12-15T12:12:43"/>
    <d v="2025-12-19T10:52:49"/>
    <m/>
    <m/>
    <m/>
    <s v="Yes, I agree"/>
    <m/>
    <s v="Faith Kyengo"/>
    <d v="2025-12-15T00:00:00"/>
    <s v="Tthilani village"/>
    <s v="-2.445298 37.96678 878.6999999999999 7.199999809265137"/>
    <x v="46"/>
    <x v="46"/>
    <x v="45"/>
    <n v="7.1999998092651367"/>
    <m/>
    <s v="Henry Mulei"/>
    <x v="1"/>
    <x v="3"/>
    <m/>
    <n v="5"/>
    <n v="2"/>
    <n v="725360887"/>
    <x v="1"/>
    <x v="1"/>
    <m/>
    <x v="7"/>
    <x v="0"/>
    <x v="1"/>
    <x v="1"/>
    <x v="0"/>
    <x v="0"/>
    <x v="0"/>
    <x v="1"/>
    <s v="Livestock keeping  Horticulture  Crop farming "/>
    <x v="1"/>
    <x v="1"/>
    <x v="1"/>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Dalbergia melanoxylon Mango Terminalia brownii Moringa oleifera Passion fruit Lemon tree"/>
    <x v="1"/>
    <x v="0"/>
    <x v="0"/>
    <x v="0"/>
    <x v="1"/>
    <x v="0"/>
    <x v="1"/>
    <x v="0"/>
    <x v="0"/>
    <x v="0"/>
    <x v="0"/>
    <x v="0"/>
    <x v="0"/>
    <x v="0"/>
    <x v="1"/>
    <x v="0"/>
    <x v="0"/>
    <x v="0"/>
    <x v="0"/>
    <x v="1"/>
    <x v="0"/>
    <x v="0"/>
    <x v="1"/>
    <x v="0"/>
    <x v="0"/>
    <x v="0"/>
    <x v="0"/>
    <x v="0"/>
    <x v="0"/>
    <m/>
    <x v="2"/>
    <x v="46"/>
    <x v="2"/>
    <x v="46"/>
    <x v="3"/>
    <x v="46"/>
    <x v="8"/>
    <x v="45"/>
    <x v="3"/>
    <x v="46"/>
    <x v="24"/>
    <x v="43"/>
    <m/>
    <x v="0"/>
    <m/>
    <s v="Through local leaders"/>
    <x v="1"/>
    <x v="0"/>
    <x v="1"/>
    <x v="0"/>
    <x v="0"/>
    <m/>
    <x v="46"/>
    <x v="42"/>
    <x v="44"/>
    <n v="634186278"/>
    <s v="8328493a-36de-4535-90ca-82735a03cb8c"/>
    <d v="2025-12-19T16:21:03"/>
    <m/>
    <m/>
    <s v="submitted_via_web"/>
    <m/>
    <s v="vJPceuhERXDBSEb667dJra"/>
    <m/>
    <s v="uuid:8328493a-36de-4535-90ca-82735a03cb8c"/>
    <n v="60"/>
  </r>
  <r>
    <d v="2025-12-15T10:58:57"/>
    <d v="2025-12-19T11:03:47"/>
    <m/>
    <m/>
    <m/>
    <s v="Yes, I agree"/>
    <m/>
    <s v="Faith Kyengo"/>
    <d v="2025-12-15T00:00:00"/>
    <s v="Nthilani  village"/>
    <s v="-2.445612 37.963035 942.6999999999999 8.600000381469727"/>
    <x v="47"/>
    <x v="47"/>
    <x v="46"/>
    <n v="8.6000003814697266"/>
    <m/>
    <s v="Bonny Mutiso"/>
    <x v="1"/>
    <x v="6"/>
    <m/>
    <n v="4"/>
    <n v="1"/>
    <n v="707098962"/>
    <x v="3"/>
    <x v="0"/>
    <m/>
    <x v="5"/>
    <x v="0"/>
    <x v="0"/>
    <x v="1"/>
    <x v="0"/>
    <x v="0"/>
    <x v="0"/>
    <x v="1"/>
    <s v="Horticulture  Crop farming "/>
    <x v="2"/>
    <x v="1"/>
    <x v="1"/>
    <x v="1"/>
    <x v="1"/>
    <m/>
    <s v="KEFRI Local nursery Self-raised"/>
    <n v="1"/>
    <n v="0"/>
    <n v="1"/>
    <n v="0"/>
    <n v="1"/>
    <n v="0"/>
    <m/>
    <s v="Shade Timber Fruits Fuelwood Income generation Environmental reasons (erosion control, windbreak, etc)"/>
    <x v="0"/>
    <x v="0"/>
    <x v="0"/>
    <x v="0"/>
    <x v="1"/>
    <x v="1"/>
    <x v="1"/>
    <x v="0"/>
    <n v="0"/>
    <m/>
    <m/>
    <s v="Tamarindus indica (Tamarind) Melia Volkensii Neem (Azadirachta indica) Senna siamea  Acacia melifera Dalbergia melanoxylon Mango Terminalia brownii Moringa oleifera Passion fruit"/>
    <x v="1"/>
    <x v="0"/>
    <x v="0"/>
    <x v="0"/>
    <x v="1"/>
    <x v="0"/>
    <x v="1"/>
    <x v="1"/>
    <x v="0"/>
    <x v="0"/>
    <x v="0"/>
    <x v="0"/>
    <x v="0"/>
    <x v="0"/>
    <x v="1"/>
    <x v="0"/>
    <x v="0"/>
    <x v="0"/>
    <x v="0"/>
    <x v="1"/>
    <x v="0"/>
    <x v="0"/>
    <x v="1"/>
    <x v="0"/>
    <x v="0"/>
    <x v="0"/>
    <x v="0"/>
    <x v="1"/>
    <x v="0"/>
    <m/>
    <x v="0"/>
    <x v="47"/>
    <x v="5"/>
    <x v="47"/>
    <x v="6"/>
    <x v="47"/>
    <x v="2"/>
    <x v="46"/>
    <x v="7"/>
    <x v="47"/>
    <x v="24"/>
    <x v="44"/>
    <m/>
    <x v="0"/>
    <m/>
    <s v="Through local leaders"/>
    <x v="1"/>
    <x v="0"/>
    <x v="1"/>
    <x v="0"/>
    <x v="0"/>
    <m/>
    <x v="47"/>
    <x v="43"/>
    <x v="45"/>
    <n v="634186290"/>
    <s v="d5d34680-c2bb-4115-a171-a2a4caaf030f"/>
    <d v="2025-12-19T16:21:04"/>
    <m/>
    <m/>
    <s v="submitted_via_web"/>
    <m/>
    <s v="vJPceuhERXDBSEb667dJra"/>
    <m/>
    <s v="uuid:d5d34680-c2bb-4115-a171-a2a4caaf030f"/>
    <n v="61"/>
  </r>
  <r>
    <d v="2025-12-15T12:03:42"/>
    <d v="2025-12-19T11:16:20"/>
    <m/>
    <m/>
    <m/>
    <s v="Yes, I agree"/>
    <m/>
    <s v="Faith Kyengo"/>
    <d v="2025-12-15T00:00:00"/>
    <s v="Nthilani village"/>
    <s v="-2.44491 37.965535 935.1999999999999 99.69999694824219"/>
    <x v="48"/>
    <x v="48"/>
    <x v="47"/>
    <n v="99.699996948242188"/>
    <m/>
    <s v="John Mutuku"/>
    <x v="1"/>
    <x v="5"/>
    <m/>
    <n v="7"/>
    <n v="4"/>
    <n v="723037193"/>
    <x v="10"/>
    <x v="0"/>
    <m/>
    <x v="7"/>
    <x v="0"/>
    <x v="1"/>
    <x v="1"/>
    <x v="0"/>
    <x v="0"/>
    <x v="0"/>
    <x v="1"/>
    <s v="Livestock keeping  Crop farming "/>
    <x v="1"/>
    <x v="1"/>
    <x v="2"/>
    <x v="1"/>
    <x v="1"/>
    <m/>
    <s v="KEFRI Local nursery"/>
    <n v="1"/>
    <n v="0"/>
    <n v="1"/>
    <n v="0"/>
    <n v="0"/>
    <n v="0"/>
    <m/>
    <s v="Shade Timber Fodder Fuelwood Income generation Environmental reasons (erosion control, windbreak, etc)"/>
    <x v="0"/>
    <x v="0"/>
    <x v="1"/>
    <x v="1"/>
    <x v="1"/>
    <x v="1"/>
    <x v="1"/>
    <x v="0"/>
    <n v="0"/>
    <m/>
    <m/>
    <s v="Tamarindus indica (Tamarind) Melia Volkensii Neem (Azadirachta indica) Senna siamea  Dalbergia melanoxylon Mango Terminalia brownii Moringa oleifera Passion fruit"/>
    <x v="1"/>
    <x v="0"/>
    <x v="0"/>
    <x v="0"/>
    <x v="1"/>
    <x v="0"/>
    <x v="1"/>
    <x v="0"/>
    <x v="0"/>
    <x v="0"/>
    <x v="0"/>
    <x v="0"/>
    <x v="0"/>
    <x v="0"/>
    <x v="1"/>
    <x v="0"/>
    <x v="0"/>
    <x v="0"/>
    <x v="0"/>
    <x v="1"/>
    <x v="0"/>
    <x v="0"/>
    <x v="1"/>
    <x v="0"/>
    <x v="0"/>
    <x v="0"/>
    <x v="0"/>
    <x v="1"/>
    <x v="0"/>
    <m/>
    <x v="0"/>
    <x v="48"/>
    <x v="5"/>
    <x v="48"/>
    <x v="2"/>
    <x v="48"/>
    <x v="13"/>
    <x v="47"/>
    <x v="11"/>
    <x v="48"/>
    <x v="24"/>
    <x v="45"/>
    <m/>
    <x v="0"/>
    <m/>
    <s v="Through local leaders"/>
    <x v="1"/>
    <x v="0"/>
    <x v="1"/>
    <x v="0"/>
    <x v="0"/>
    <m/>
    <x v="48"/>
    <x v="44"/>
    <x v="46"/>
    <n v="634186302"/>
    <s v="eafc6824-a979-420f-ab40-d300ee54454b"/>
    <d v="2025-12-19T16:21:05"/>
    <m/>
    <m/>
    <s v="submitted_via_web"/>
    <m/>
    <s v="vJPceuhERXDBSEb667dJra"/>
    <m/>
    <s v="uuid:eafc6824-a979-420f-ab40-d300ee54454b"/>
    <n v="62"/>
  </r>
  <r>
    <d v="2025-12-15T09:51:13"/>
    <d v="2025-12-19T11:27:42"/>
    <m/>
    <m/>
    <m/>
    <s v="Yes, I agree"/>
    <m/>
    <s v="Faith Kyengo"/>
    <d v="2025-12-15T00:00:00"/>
    <s v="Usalama village"/>
    <s v="-2.451103 37.966365 951 9.800000190734863"/>
    <x v="49"/>
    <x v="49"/>
    <x v="48"/>
    <n v="9.8000001907348633"/>
    <m/>
    <s v="James Munyao"/>
    <x v="1"/>
    <x v="3"/>
    <m/>
    <n v="6"/>
    <n v="2"/>
    <n v="724992571"/>
    <x v="1"/>
    <x v="0"/>
    <m/>
    <x v="7"/>
    <x v="0"/>
    <x v="1"/>
    <x v="1"/>
    <x v="0"/>
    <x v="0"/>
    <x v="0"/>
    <x v="1"/>
    <s v="Livestock keeping  Horticulture  Crop farming "/>
    <x v="1"/>
    <x v="1"/>
    <x v="1"/>
    <x v="1"/>
    <x v="1"/>
    <m/>
    <s v="KEFRI Local nursery"/>
    <n v="1"/>
    <n v="0"/>
    <n v="1"/>
    <n v="0"/>
    <n v="0"/>
    <n v="0"/>
    <m/>
    <s v="Shade Timber Fodder Fruits Fuelwood Income generation Environmental reasons (erosion control, windbreak, etc)"/>
    <x v="0"/>
    <x v="0"/>
    <x v="1"/>
    <x v="0"/>
    <x v="1"/>
    <x v="1"/>
    <x v="1"/>
    <x v="0"/>
    <n v="0"/>
    <m/>
    <m/>
    <s v="Tamarindus indica (Tamarind) Melia Volkensii Neem (Azadirachta indica) Senna siamea  Dalbergia melanoxylon Mango Terminalia brownii Moringa oleifera Passion fruit Lemon tree"/>
    <x v="1"/>
    <x v="0"/>
    <x v="0"/>
    <x v="0"/>
    <x v="1"/>
    <x v="0"/>
    <x v="1"/>
    <x v="0"/>
    <x v="0"/>
    <x v="0"/>
    <x v="0"/>
    <x v="0"/>
    <x v="0"/>
    <x v="0"/>
    <x v="1"/>
    <x v="0"/>
    <x v="0"/>
    <x v="0"/>
    <x v="0"/>
    <x v="1"/>
    <x v="0"/>
    <x v="0"/>
    <x v="1"/>
    <x v="0"/>
    <x v="0"/>
    <x v="0"/>
    <x v="0"/>
    <x v="0"/>
    <x v="0"/>
    <m/>
    <x v="0"/>
    <x v="49"/>
    <x v="5"/>
    <x v="49"/>
    <x v="0"/>
    <x v="49"/>
    <x v="8"/>
    <x v="48"/>
    <x v="15"/>
    <x v="49"/>
    <x v="41"/>
    <x v="46"/>
    <m/>
    <x v="0"/>
    <m/>
    <s v="Through local leaders"/>
    <x v="1"/>
    <x v="0"/>
    <x v="1"/>
    <x v="0"/>
    <x v="0"/>
    <m/>
    <x v="49"/>
    <x v="17"/>
    <x v="47"/>
    <n v="634186311"/>
    <s v="6804dbf3-9041-47b1-a46b-220158274c05"/>
    <d v="2025-12-19T16:21:05"/>
    <m/>
    <m/>
    <s v="submitted_via_web"/>
    <m/>
    <s v="vJPceuhERXDBSEb667dJra"/>
    <m/>
    <s v="uuid:6804dbf3-9041-47b1-a46b-220158274c05"/>
    <n v="63"/>
  </r>
  <r>
    <d v="2025-12-15T09:08:57"/>
    <d v="2025-12-19T11:31:00"/>
    <m/>
    <m/>
    <m/>
    <s v="Yes, I agree"/>
    <m/>
    <s v="Faith Kyengo"/>
    <d v="2025-12-15T00:00:00"/>
    <s v="Usalama village"/>
    <s v="-2.448325 37.968552 915.5 4.599999904632568"/>
    <x v="50"/>
    <x v="50"/>
    <x v="49"/>
    <n v="4.5999999046325684"/>
    <m/>
    <s v="Tabitha Sandu"/>
    <x v="0"/>
    <x v="5"/>
    <m/>
    <n v="3"/>
    <n v="2"/>
    <n v="729979576"/>
    <x v="1"/>
    <x v="0"/>
    <m/>
    <x v="0"/>
    <x v="0"/>
    <x v="0"/>
    <x v="0"/>
    <x v="0"/>
    <x v="0"/>
    <x v="0"/>
    <x v="1"/>
    <s v="Horticulture  Crop farming "/>
    <x v="2"/>
    <x v="1"/>
    <x v="1"/>
    <x v="1"/>
    <x v="1"/>
    <m/>
    <s v="KEFRI Local nursery"/>
    <n v="1"/>
    <n v="0"/>
    <n v="1"/>
    <n v="0"/>
    <n v="0"/>
    <n v="0"/>
    <m/>
    <s v="Shade Timber Fruits Fuelwood Income generation Environmental reasons (erosion control, windbreak, etc)"/>
    <x v="0"/>
    <x v="0"/>
    <x v="0"/>
    <x v="0"/>
    <x v="1"/>
    <x v="1"/>
    <x v="1"/>
    <x v="0"/>
    <n v="0"/>
    <m/>
    <m/>
    <s v="Tamarindus indica (Tamarind) Melia Volkensii Melia azederach Neem (Azadirachta indica) Senna siamea  Dalbergia melanoxylon Mango Terminalia brownii Moringa oleifera Passion fruit"/>
    <x v="1"/>
    <x v="0"/>
    <x v="1"/>
    <x v="0"/>
    <x v="1"/>
    <x v="0"/>
    <x v="1"/>
    <x v="0"/>
    <x v="0"/>
    <x v="0"/>
    <x v="0"/>
    <x v="0"/>
    <x v="0"/>
    <x v="0"/>
    <x v="1"/>
    <x v="0"/>
    <x v="0"/>
    <x v="0"/>
    <x v="0"/>
    <x v="1"/>
    <x v="0"/>
    <x v="0"/>
    <x v="1"/>
    <x v="0"/>
    <x v="0"/>
    <x v="0"/>
    <x v="0"/>
    <x v="1"/>
    <x v="0"/>
    <m/>
    <x v="2"/>
    <x v="50"/>
    <x v="5"/>
    <x v="50"/>
    <x v="4"/>
    <x v="50"/>
    <x v="8"/>
    <x v="49"/>
    <x v="16"/>
    <x v="50"/>
    <x v="24"/>
    <x v="47"/>
    <m/>
    <x v="0"/>
    <m/>
    <s v="Through local leaders Through school/youth groups"/>
    <x v="1"/>
    <x v="0"/>
    <x v="1"/>
    <x v="1"/>
    <x v="0"/>
    <m/>
    <x v="50"/>
    <x v="37"/>
    <x v="48"/>
    <n v="634186325"/>
    <s v="9b7ffbf2-f404-461e-b3e0-80251a6ae2b1"/>
    <d v="2025-12-19T16:21:06"/>
    <m/>
    <m/>
    <s v="submitted_via_web"/>
    <m/>
    <s v="vJPceuhERXDBSEb667dJra"/>
    <m/>
    <s v="uuid:9b7ffbf2-f404-461e-b3e0-80251a6ae2b1"/>
    <n v="64"/>
  </r>
  <r>
    <d v="2025-12-15T09:36:39"/>
    <d v="2025-12-19T11:33:22"/>
    <m/>
    <m/>
    <m/>
    <s v="Yes, I agree"/>
    <m/>
    <s v="Faith Kyengo"/>
    <d v="2025-12-15T00:00:00"/>
    <s v="Usalama village"/>
    <s v="-2.449547 37.966733 915.5 5.900000095367432"/>
    <x v="51"/>
    <x v="51"/>
    <x v="49"/>
    <n v="5.9000000953674316"/>
    <m/>
    <s v="Jacinta Musyoka"/>
    <x v="0"/>
    <x v="5"/>
    <m/>
    <n v="2"/>
    <n v="3"/>
    <n v="700746726"/>
    <x v="10"/>
    <x v="0"/>
    <m/>
    <x v="4"/>
    <x v="0"/>
    <x v="1"/>
    <x v="0"/>
    <x v="0"/>
    <x v="0"/>
    <x v="1"/>
    <x v="1"/>
    <s v="Livestock keeping  Horticulture  Crop farming  Bee keeping "/>
    <x v="1"/>
    <x v="1"/>
    <x v="1"/>
    <x v="1"/>
    <x v="2"/>
    <n v="5"/>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Dalbergia melanoxylon Mango Terminalia brownii Moringa oleifera Passion fruit"/>
    <x v="1"/>
    <x v="0"/>
    <x v="0"/>
    <x v="0"/>
    <x v="1"/>
    <x v="0"/>
    <x v="1"/>
    <x v="0"/>
    <x v="0"/>
    <x v="0"/>
    <x v="0"/>
    <x v="0"/>
    <x v="0"/>
    <x v="0"/>
    <x v="1"/>
    <x v="0"/>
    <x v="0"/>
    <x v="0"/>
    <x v="0"/>
    <x v="1"/>
    <x v="0"/>
    <x v="0"/>
    <x v="1"/>
    <x v="0"/>
    <x v="0"/>
    <x v="0"/>
    <x v="0"/>
    <x v="1"/>
    <x v="0"/>
    <m/>
    <x v="1"/>
    <x v="51"/>
    <x v="2"/>
    <x v="51"/>
    <x v="11"/>
    <x v="51"/>
    <x v="2"/>
    <x v="50"/>
    <x v="6"/>
    <x v="51"/>
    <x v="30"/>
    <x v="36"/>
    <m/>
    <x v="0"/>
    <m/>
    <s v="Through local leaders"/>
    <x v="1"/>
    <x v="0"/>
    <x v="1"/>
    <x v="0"/>
    <x v="0"/>
    <m/>
    <x v="51"/>
    <x v="45"/>
    <x v="49"/>
    <n v="634186335"/>
    <s v="8f4d927a-5e21-4b1b-88f9-8d87046842cb"/>
    <d v="2025-12-19T16:21:07"/>
    <m/>
    <m/>
    <s v="submitted_via_web"/>
    <m/>
    <s v="vJPceuhERXDBSEb667dJra"/>
    <m/>
    <s v="uuid:8f4d927a-5e21-4b1b-88f9-8d87046842cb"/>
    <n v="65"/>
  </r>
  <r>
    <d v="2025-12-15T08:27:51"/>
    <d v="2025-12-19T11:34:38"/>
    <m/>
    <m/>
    <m/>
    <s v="Yes, I agree"/>
    <m/>
    <s v="Faith Kyengo"/>
    <d v="2025-12-15T00:00:00"/>
    <s v="Usalama village"/>
    <s v="-2.448718 37.96829 915.5 5.5"/>
    <x v="52"/>
    <x v="52"/>
    <x v="49"/>
    <n v="5.5"/>
    <m/>
    <s v="Musyoka martin"/>
    <x v="1"/>
    <x v="3"/>
    <m/>
    <n v="3"/>
    <n v="6"/>
    <n v="726576625"/>
    <x v="1"/>
    <x v="0"/>
    <m/>
    <x v="7"/>
    <x v="0"/>
    <x v="1"/>
    <x v="1"/>
    <x v="0"/>
    <x v="0"/>
    <x v="1"/>
    <x v="1"/>
    <s v="Livestock keeping  Grass planting  Horticulture  Crop farming "/>
    <x v="1"/>
    <x v="2"/>
    <x v="1"/>
    <x v="1"/>
    <x v="1"/>
    <n v="4"/>
    <s v="KEFRI Local nursery Self-raised"/>
    <n v="1"/>
    <n v="0"/>
    <n v="1"/>
    <n v="0"/>
    <n v="1"/>
    <n v="0"/>
    <m/>
    <s v="Shade Timber Fodder Fruits Fuelwood Boundary marking Income generation Environmental reasons (erosion control, windbreak, etc)"/>
    <x v="0"/>
    <x v="0"/>
    <x v="1"/>
    <x v="0"/>
    <x v="1"/>
    <x v="0"/>
    <x v="1"/>
    <x v="0"/>
    <n v="0"/>
    <m/>
    <m/>
    <s v="Tamarindus indica (Tamarind) Melia Volkensii Neem (Azadirachta indica) Senna siamea  Dalbergia melanoxylon Mango Moringa oleifera Passion fruit Lemon tree"/>
    <x v="1"/>
    <x v="0"/>
    <x v="0"/>
    <x v="0"/>
    <x v="1"/>
    <x v="0"/>
    <x v="1"/>
    <x v="0"/>
    <x v="0"/>
    <x v="0"/>
    <x v="0"/>
    <x v="0"/>
    <x v="0"/>
    <x v="0"/>
    <x v="1"/>
    <x v="0"/>
    <x v="0"/>
    <x v="0"/>
    <x v="0"/>
    <x v="1"/>
    <x v="0"/>
    <x v="0"/>
    <x v="0"/>
    <x v="0"/>
    <x v="0"/>
    <x v="0"/>
    <x v="0"/>
    <x v="0"/>
    <x v="0"/>
    <m/>
    <x v="0"/>
    <x v="29"/>
    <x v="1"/>
    <x v="52"/>
    <x v="1"/>
    <x v="52"/>
    <x v="1"/>
    <x v="51"/>
    <x v="5"/>
    <x v="52"/>
    <x v="24"/>
    <x v="48"/>
    <m/>
    <x v="0"/>
    <m/>
    <s v="Through local leaders"/>
    <x v="1"/>
    <x v="0"/>
    <x v="1"/>
    <x v="0"/>
    <x v="0"/>
    <m/>
    <x v="52"/>
    <x v="46"/>
    <x v="50"/>
    <n v="634186346"/>
    <s v="78b785be-f53b-4e1a-a048-b111334d9253"/>
    <d v="2025-12-19T16:21:07"/>
    <m/>
    <m/>
    <s v="submitted_via_web"/>
    <m/>
    <s v="vJPceuhERXDBSEb667dJra"/>
    <m/>
    <s v="uuid:78b785be-f53b-4e1a-a048-b111334d9253"/>
    <n v="66"/>
  </r>
  <r>
    <d v="2025-12-15T08:04:20"/>
    <d v="2025-12-19T11:35:54"/>
    <m/>
    <m/>
    <m/>
    <s v="Yes, I agree"/>
    <m/>
    <s v="Faith Kyengo"/>
    <d v="2025-12-15T00:00:00"/>
    <s v="Usalama village"/>
    <s v="-2.44867 37.968148 809.6 12.199999809265137"/>
    <x v="53"/>
    <x v="53"/>
    <x v="50"/>
    <n v="12.19999980926514"/>
    <m/>
    <s v="Joseph Musyoni"/>
    <x v="1"/>
    <x v="2"/>
    <m/>
    <n v="3"/>
    <n v="3"/>
    <n v="758311817"/>
    <x v="1"/>
    <x v="2"/>
    <m/>
    <x v="0"/>
    <x v="0"/>
    <x v="0"/>
    <x v="0"/>
    <x v="0"/>
    <x v="0"/>
    <x v="0"/>
    <x v="1"/>
    <s v="Horticulture  Crop farming "/>
    <x v="2"/>
    <x v="1"/>
    <x v="1"/>
    <x v="1"/>
    <x v="1"/>
    <m/>
    <s v="KEFRI Local nursery"/>
    <n v="1"/>
    <n v="0"/>
    <n v="1"/>
    <n v="0"/>
    <n v="0"/>
    <n v="0"/>
    <m/>
    <s v="Shade Timber Fruits Fuelwood Income generation Environmental reasons (erosion control, windbreak, etc)"/>
    <x v="0"/>
    <x v="0"/>
    <x v="0"/>
    <x v="0"/>
    <x v="1"/>
    <x v="1"/>
    <x v="1"/>
    <x v="0"/>
    <n v="0"/>
    <m/>
    <m/>
    <s v="Tamarindus indica (Tamarind) Melia Volkensii Melia azederach Neem (Azadirachta indica) Senna siamea  Dalbergia melanoxylon Mango Terminalia brownii Passion fruit"/>
    <x v="1"/>
    <x v="0"/>
    <x v="1"/>
    <x v="0"/>
    <x v="1"/>
    <x v="0"/>
    <x v="1"/>
    <x v="0"/>
    <x v="0"/>
    <x v="0"/>
    <x v="0"/>
    <x v="0"/>
    <x v="0"/>
    <x v="0"/>
    <x v="1"/>
    <x v="0"/>
    <x v="0"/>
    <x v="0"/>
    <x v="0"/>
    <x v="1"/>
    <x v="0"/>
    <x v="0"/>
    <x v="1"/>
    <x v="1"/>
    <x v="0"/>
    <x v="0"/>
    <x v="0"/>
    <x v="1"/>
    <x v="0"/>
    <m/>
    <x v="0"/>
    <x v="52"/>
    <x v="5"/>
    <x v="53"/>
    <x v="10"/>
    <x v="53"/>
    <x v="2"/>
    <x v="52"/>
    <x v="3"/>
    <x v="53"/>
    <x v="30"/>
    <x v="49"/>
    <m/>
    <x v="0"/>
    <m/>
    <s v="Through local leaders"/>
    <x v="1"/>
    <x v="0"/>
    <x v="1"/>
    <x v="0"/>
    <x v="0"/>
    <m/>
    <x v="53"/>
    <x v="47"/>
    <x v="51"/>
    <n v="634186357"/>
    <s v="0f26195e-0e4c-436f-8c4e-e0ea22f5727b"/>
    <d v="2025-12-19T16:21:08"/>
    <m/>
    <m/>
    <s v="submitted_via_web"/>
    <m/>
    <s v="vJPceuhERXDBSEb667dJra"/>
    <m/>
    <s v="uuid:0f26195e-0e4c-436f-8c4e-e0ea22f5727b"/>
    <n v="67"/>
  </r>
  <r>
    <d v="2025-12-15T10:16:13"/>
    <d v="2025-12-19T11:46:18"/>
    <m/>
    <m/>
    <m/>
    <s v="Yes, I agree"/>
    <m/>
    <s v="Faith Kyengo"/>
    <d v="2025-12-15T00:00:00"/>
    <s v="Usalama village"/>
    <s v="-2.448403 37.965398 945.1999999999999 76.9000015258789"/>
    <x v="54"/>
    <x v="54"/>
    <x v="51"/>
    <n v="76.900001525878906"/>
    <m/>
    <s v="Mutua Kyongo"/>
    <x v="1"/>
    <x v="1"/>
    <m/>
    <n v="4"/>
    <n v="2"/>
    <n v="726955095"/>
    <x v="11"/>
    <x v="0"/>
    <m/>
    <x v="8"/>
    <x v="0"/>
    <x v="1"/>
    <x v="0"/>
    <x v="1"/>
    <x v="5"/>
    <x v="0"/>
    <x v="1"/>
    <s v="Livestock keeping  Crop farming "/>
    <x v="1"/>
    <x v="1"/>
    <x v="2"/>
    <x v="1"/>
    <x v="1"/>
    <m/>
    <s v="KEFRI Local nursery"/>
    <n v="1"/>
    <n v="0"/>
    <n v="1"/>
    <n v="0"/>
    <n v="0"/>
    <n v="0"/>
    <m/>
    <s v="Shade Timber Fodder Fruits Boundary marking Income generation"/>
    <x v="0"/>
    <x v="0"/>
    <x v="1"/>
    <x v="0"/>
    <x v="0"/>
    <x v="0"/>
    <x v="1"/>
    <x v="1"/>
    <n v="0"/>
    <m/>
    <m/>
    <s v="Tamarindus indica (Tamarind) Melia Volkensii Melia azederach Neem (Azadirachta indica) Senna siamea  Dalbergia melanoxylon Mango Terminalia brownii Moringa oleifera Passion fruit"/>
    <x v="1"/>
    <x v="0"/>
    <x v="1"/>
    <x v="0"/>
    <x v="1"/>
    <x v="0"/>
    <x v="1"/>
    <x v="0"/>
    <x v="0"/>
    <x v="0"/>
    <x v="0"/>
    <x v="0"/>
    <x v="0"/>
    <x v="0"/>
    <x v="1"/>
    <x v="0"/>
    <x v="0"/>
    <x v="0"/>
    <x v="0"/>
    <x v="1"/>
    <x v="0"/>
    <x v="0"/>
    <x v="1"/>
    <x v="0"/>
    <x v="0"/>
    <x v="0"/>
    <x v="0"/>
    <x v="1"/>
    <x v="0"/>
    <m/>
    <x v="0"/>
    <x v="53"/>
    <x v="5"/>
    <x v="54"/>
    <x v="0"/>
    <x v="54"/>
    <x v="8"/>
    <x v="53"/>
    <x v="15"/>
    <x v="54"/>
    <x v="42"/>
    <x v="50"/>
    <m/>
    <x v="0"/>
    <m/>
    <s v="Through local leaders"/>
    <x v="1"/>
    <x v="0"/>
    <x v="1"/>
    <x v="0"/>
    <x v="0"/>
    <m/>
    <x v="54"/>
    <x v="17"/>
    <x v="52"/>
    <n v="634186364"/>
    <s v="33a1b95b-5bfb-4ede-97ee-db4bca12ea26"/>
    <d v="2025-12-19T16:21:08"/>
    <m/>
    <m/>
    <s v="submitted_via_web"/>
    <m/>
    <s v="vJPceuhERXDBSEb667dJra"/>
    <m/>
    <s v="uuid:33a1b95b-5bfb-4ede-97ee-db4bca12ea26"/>
    <n v="68"/>
  </r>
  <r>
    <d v="2025-12-15T12:57:29"/>
    <d v="2025-12-19T11:57:13"/>
    <m/>
    <m/>
    <m/>
    <s v="Yes, I agree"/>
    <m/>
    <s v="Faith Kyengo"/>
    <d v="2025-12-15T00:00:00"/>
    <s v="Nthilani village"/>
    <s v="-2.443697 37.965742 938.8 4.699999809265137"/>
    <x v="55"/>
    <x v="55"/>
    <x v="52"/>
    <n v="4.6999998092651367"/>
    <m/>
    <s v="Mavi Kamau"/>
    <x v="1"/>
    <x v="3"/>
    <m/>
    <n v="3"/>
    <n v="4"/>
    <n v="754641063"/>
    <x v="1"/>
    <x v="2"/>
    <m/>
    <x v="0"/>
    <x v="0"/>
    <x v="0"/>
    <x v="0"/>
    <x v="0"/>
    <x v="0"/>
    <x v="0"/>
    <x v="1"/>
    <s v="Livestock keeping  Horticulture  Crop farming "/>
    <x v="1"/>
    <x v="1"/>
    <x v="1"/>
    <x v="1"/>
    <x v="1"/>
    <m/>
    <s v="KEFRI Local nursery Self-raised"/>
    <n v="1"/>
    <n v="0"/>
    <n v="1"/>
    <n v="0"/>
    <n v="1"/>
    <n v="0"/>
    <m/>
    <s v="Shade Timber Fodder Fruits Fuelwood Income generation Environmental reasons (erosion control, windbreak, etc)"/>
    <x v="0"/>
    <x v="0"/>
    <x v="1"/>
    <x v="0"/>
    <x v="1"/>
    <x v="1"/>
    <x v="1"/>
    <x v="0"/>
    <n v="0"/>
    <m/>
    <m/>
    <s v="Tamarindus indica (Tamarind) Melia Volkensii Neem (Azadirachta indica) Senna siamea  Acacia tortilis Dalbergia melanoxylon Mango Terminalia brownii Moringa oleifera Passion fruit"/>
    <x v="1"/>
    <x v="0"/>
    <x v="0"/>
    <x v="0"/>
    <x v="1"/>
    <x v="0"/>
    <x v="0"/>
    <x v="0"/>
    <x v="0"/>
    <x v="0"/>
    <x v="0"/>
    <x v="0"/>
    <x v="0"/>
    <x v="0"/>
    <x v="1"/>
    <x v="0"/>
    <x v="0"/>
    <x v="0"/>
    <x v="0"/>
    <x v="1"/>
    <x v="0"/>
    <x v="0"/>
    <x v="1"/>
    <x v="0"/>
    <x v="0"/>
    <x v="0"/>
    <x v="0"/>
    <x v="1"/>
    <x v="0"/>
    <m/>
    <x v="2"/>
    <x v="54"/>
    <x v="5"/>
    <x v="55"/>
    <x v="4"/>
    <x v="55"/>
    <x v="10"/>
    <x v="54"/>
    <x v="15"/>
    <x v="55"/>
    <x v="24"/>
    <x v="51"/>
    <m/>
    <x v="0"/>
    <m/>
    <s v="Through local leaders"/>
    <x v="1"/>
    <x v="0"/>
    <x v="1"/>
    <x v="0"/>
    <x v="0"/>
    <m/>
    <x v="55"/>
    <x v="48"/>
    <x v="53"/>
    <n v="634186373"/>
    <s v="c6b3d557-eb91-4641-810d-9d6fbd312b3f"/>
    <d v="2025-12-19T16:21:09"/>
    <m/>
    <m/>
    <s v="submitted_via_web"/>
    <m/>
    <s v="vJPceuhERXDBSEb667dJra"/>
    <m/>
    <s v="uuid:c6b3d557-eb91-4641-810d-9d6fbd312b3f"/>
    <n v="69"/>
  </r>
  <r>
    <d v="2025-12-09T17:54:17"/>
    <d v="2025-12-19T11:59:03"/>
    <m/>
    <m/>
    <m/>
    <s v="Yes, I agree"/>
    <m/>
    <s v="Faith Kyengo"/>
    <d v="2025-12-10T00:00:00"/>
    <s v="Miangeni village"/>
    <s v="-2.41584 38.087373 770.9 15.899999618530273"/>
    <x v="56"/>
    <x v="56"/>
    <x v="53"/>
    <n v="15.89999961853027"/>
    <m/>
    <s v="Monica Mwathi"/>
    <x v="0"/>
    <x v="3"/>
    <m/>
    <n v="3"/>
    <n v="2"/>
    <m/>
    <x v="1"/>
    <x v="2"/>
    <m/>
    <x v="4"/>
    <x v="0"/>
    <x v="1"/>
    <x v="0"/>
    <x v="0"/>
    <x v="0"/>
    <x v="0"/>
    <x v="1"/>
    <s v="Livestock keeping  Crop farming "/>
    <x v="1"/>
    <x v="1"/>
    <x v="2"/>
    <x v="1"/>
    <x v="1"/>
    <m/>
    <s v="KEFRI Local nursery"/>
    <n v="1"/>
    <n v="0"/>
    <n v="1"/>
    <n v="0"/>
    <n v="0"/>
    <n v="0"/>
    <m/>
    <s v="Shade Timber Fodder Fruits Fuelwood Income generation Environmental reasons (erosion control, windbreak, etc)"/>
    <x v="0"/>
    <x v="0"/>
    <x v="1"/>
    <x v="0"/>
    <x v="1"/>
    <x v="1"/>
    <x v="1"/>
    <x v="0"/>
    <n v="0"/>
    <m/>
    <m/>
    <s v="Tamarindus indica (Tamarind) Melia Volkensii Neem (Azadirachta indica) Senna siamea  Acacia tortilis Acacia melifera Dalbergia melanoxylon Avocado Terminalia brownii Moringa oleifera"/>
    <x v="1"/>
    <x v="0"/>
    <x v="0"/>
    <x v="0"/>
    <x v="1"/>
    <x v="0"/>
    <x v="0"/>
    <x v="1"/>
    <x v="0"/>
    <x v="0"/>
    <x v="0"/>
    <x v="0"/>
    <x v="0"/>
    <x v="0"/>
    <x v="1"/>
    <x v="0"/>
    <x v="0"/>
    <x v="0"/>
    <x v="1"/>
    <x v="0"/>
    <x v="0"/>
    <x v="0"/>
    <x v="1"/>
    <x v="0"/>
    <x v="0"/>
    <x v="0"/>
    <x v="1"/>
    <x v="1"/>
    <x v="0"/>
    <m/>
    <x v="0"/>
    <x v="55"/>
    <x v="5"/>
    <x v="56"/>
    <x v="2"/>
    <x v="56"/>
    <x v="12"/>
    <x v="55"/>
    <x v="14"/>
    <x v="56"/>
    <x v="24"/>
    <x v="48"/>
    <m/>
    <x v="0"/>
    <m/>
    <s v="Through local leaders"/>
    <x v="1"/>
    <x v="0"/>
    <x v="1"/>
    <x v="0"/>
    <x v="0"/>
    <m/>
    <x v="56"/>
    <x v="49"/>
    <x v="54"/>
    <n v="634186402"/>
    <s v="6ae57890-c9f2-453d-b17c-8f4b540a838a"/>
    <d v="2025-12-19T16:21:11"/>
    <m/>
    <m/>
    <s v="submitted_via_web"/>
    <m/>
    <s v="vJPceuhERXDBSEb667dJra"/>
    <m/>
    <s v="uuid:6ae57890-c9f2-453d-b17c-8f4b540a838a"/>
    <n v="70"/>
  </r>
  <r>
    <d v="2025-12-16T16:09:59"/>
    <d v="2025-12-19T12:12:36"/>
    <m/>
    <m/>
    <m/>
    <s v="Yes, I agree"/>
    <m/>
    <s v="Faith Kyengo"/>
    <d v="2025-12-17T00:00:00"/>
    <s v="Nthilani village"/>
    <s v="-2.446897 37.967513 951.3 9.399999618530273"/>
    <x v="57"/>
    <x v="57"/>
    <x v="54"/>
    <n v="9.3999996185302734"/>
    <m/>
    <s v="Wambua Gregory"/>
    <x v="1"/>
    <x v="2"/>
    <m/>
    <n v="3"/>
    <n v="2"/>
    <n v="7079458982"/>
    <x v="3"/>
    <x v="0"/>
    <m/>
    <x v="4"/>
    <x v="0"/>
    <x v="1"/>
    <x v="0"/>
    <x v="0"/>
    <x v="0"/>
    <x v="0"/>
    <x v="1"/>
    <s v="Livestock keeping  Crop farming "/>
    <x v="1"/>
    <x v="1"/>
    <x v="2"/>
    <x v="1"/>
    <x v="1"/>
    <m/>
    <s v="KEFRI Local nursery"/>
    <n v="1"/>
    <n v="0"/>
    <n v="1"/>
    <n v="0"/>
    <n v="0"/>
    <n v="0"/>
    <m/>
    <s v="Shade Timber Fruits Fuelwood Boundary marking Environmental reasons (erosion control, windbreak, etc)"/>
    <x v="0"/>
    <x v="0"/>
    <x v="0"/>
    <x v="0"/>
    <x v="1"/>
    <x v="0"/>
    <x v="0"/>
    <x v="0"/>
    <n v="0"/>
    <m/>
    <m/>
    <s v="Tamarindus indica (Tamarind) Melia Volkensii Melia azederach Neem (Azadirachta indica) Senna siamea  Acacia tortilis Dalbergia melanoxylon Mango Terminalia brownii Passion fruit"/>
    <x v="1"/>
    <x v="0"/>
    <x v="1"/>
    <x v="0"/>
    <x v="1"/>
    <x v="0"/>
    <x v="0"/>
    <x v="0"/>
    <x v="0"/>
    <x v="0"/>
    <x v="0"/>
    <x v="0"/>
    <x v="0"/>
    <x v="0"/>
    <x v="1"/>
    <x v="0"/>
    <x v="0"/>
    <x v="0"/>
    <x v="0"/>
    <x v="1"/>
    <x v="0"/>
    <x v="0"/>
    <x v="1"/>
    <x v="1"/>
    <x v="0"/>
    <x v="0"/>
    <x v="0"/>
    <x v="1"/>
    <x v="0"/>
    <m/>
    <x v="2"/>
    <x v="56"/>
    <x v="10"/>
    <x v="57"/>
    <x v="4"/>
    <x v="57"/>
    <x v="1"/>
    <x v="56"/>
    <x v="6"/>
    <x v="57"/>
    <x v="24"/>
    <x v="52"/>
    <m/>
    <x v="0"/>
    <m/>
    <s v="Through local leaders"/>
    <x v="1"/>
    <x v="0"/>
    <x v="1"/>
    <x v="0"/>
    <x v="0"/>
    <m/>
    <x v="57"/>
    <x v="50"/>
    <x v="55"/>
    <n v="634186419"/>
    <s v="91bcf8e8-62ce-4233-a0ee-d1f47344526a"/>
    <d v="2025-12-19T16:21:11"/>
    <m/>
    <m/>
    <s v="submitted_via_web"/>
    <m/>
    <s v="vJPceuhERXDBSEb667dJra"/>
    <m/>
    <s v="uuid:91bcf8e8-62ce-4233-a0ee-d1f47344526a"/>
    <n v="71"/>
  </r>
  <r>
    <d v="2025-12-17T09:14:24"/>
    <d v="2025-12-19T12:31:45"/>
    <m/>
    <m/>
    <m/>
    <s v="Yes, I agree"/>
    <m/>
    <s v="Faith Kyengo"/>
    <d v="2025-12-17T00:00:00"/>
    <s v="Nthilani village"/>
    <s v="-2.448622 37.969143 931.9 6"/>
    <x v="58"/>
    <x v="58"/>
    <x v="55"/>
    <n v="6"/>
    <m/>
    <s v="Boniface sila"/>
    <x v="1"/>
    <x v="5"/>
    <m/>
    <n v="2"/>
    <n v="3"/>
    <n v="746256693"/>
    <x v="12"/>
    <x v="0"/>
    <m/>
    <x v="4"/>
    <x v="0"/>
    <x v="1"/>
    <x v="0"/>
    <x v="0"/>
    <x v="0"/>
    <x v="0"/>
    <x v="1"/>
    <s v="Livestock keeping  Horticulture  Crop farming "/>
    <x v="1"/>
    <x v="1"/>
    <x v="1"/>
    <x v="1"/>
    <x v="1"/>
    <m/>
    <s v="KEFRI Local nursery"/>
    <n v="1"/>
    <n v="0"/>
    <n v="1"/>
    <n v="0"/>
    <n v="0"/>
    <n v="0"/>
    <m/>
    <s v="Shade Timber Fodder Fruits Fuelwood Income generation Environmental reasons (erosion control, windbreak, etc)"/>
    <x v="0"/>
    <x v="0"/>
    <x v="1"/>
    <x v="0"/>
    <x v="1"/>
    <x v="1"/>
    <x v="1"/>
    <x v="0"/>
    <n v="0"/>
    <m/>
    <m/>
    <s v="Tamarindus indica (Tamarind) Melia Volkensii Neem (Azadirachta indica) Senna siamea  Acacia tortilis Dalbergia melanoxylon Mango Terminalia brownii Passion fruit Lemon tree"/>
    <x v="1"/>
    <x v="0"/>
    <x v="0"/>
    <x v="0"/>
    <x v="1"/>
    <x v="0"/>
    <x v="0"/>
    <x v="0"/>
    <x v="0"/>
    <x v="0"/>
    <x v="0"/>
    <x v="0"/>
    <x v="0"/>
    <x v="0"/>
    <x v="1"/>
    <x v="0"/>
    <x v="0"/>
    <x v="0"/>
    <x v="0"/>
    <x v="1"/>
    <x v="0"/>
    <x v="0"/>
    <x v="1"/>
    <x v="1"/>
    <x v="0"/>
    <x v="0"/>
    <x v="0"/>
    <x v="0"/>
    <x v="0"/>
    <m/>
    <x v="2"/>
    <x v="57"/>
    <x v="5"/>
    <x v="58"/>
    <x v="2"/>
    <x v="58"/>
    <x v="5"/>
    <x v="57"/>
    <x v="6"/>
    <x v="58"/>
    <x v="24"/>
    <x v="53"/>
    <m/>
    <x v="0"/>
    <m/>
    <s v="Through local leaders"/>
    <x v="1"/>
    <x v="0"/>
    <x v="1"/>
    <x v="0"/>
    <x v="0"/>
    <m/>
    <x v="58"/>
    <x v="51"/>
    <x v="56"/>
    <n v="634186435"/>
    <s v="ed672bbe-46c7-42bc-af5d-6e493783527e"/>
    <d v="2025-12-19T16:21:12"/>
    <m/>
    <m/>
    <s v="submitted_via_web"/>
    <m/>
    <s v="vJPceuhERXDBSEb667dJra"/>
    <m/>
    <s v="uuid:ed672bbe-46c7-42bc-af5d-6e493783527e"/>
    <n v="72"/>
  </r>
  <r>
    <d v="2025-12-17T08:53:28"/>
    <d v="2025-12-19T12:43:15"/>
    <m/>
    <m/>
    <m/>
    <s v="Yes, I agree"/>
    <m/>
    <s v="Faith Kyengo"/>
    <d v="2025-12-17T00:00:00"/>
    <s v="Nthilani village"/>
    <s v="-2.447678 37.969633 908.6999999999999 5.400000095367432"/>
    <x v="59"/>
    <x v="59"/>
    <x v="56"/>
    <n v="5.4000000953674316"/>
    <m/>
    <s v="Joshua maweu"/>
    <x v="1"/>
    <x v="3"/>
    <m/>
    <n v="3"/>
    <n v="2"/>
    <n v="723913805"/>
    <x v="1"/>
    <x v="0"/>
    <m/>
    <x v="4"/>
    <x v="0"/>
    <x v="1"/>
    <x v="0"/>
    <x v="0"/>
    <x v="0"/>
    <x v="0"/>
    <x v="1"/>
    <s v="Livestock keeping  Horticulture  Crop farming "/>
    <x v="1"/>
    <x v="1"/>
    <x v="1"/>
    <x v="1"/>
    <x v="1"/>
    <m/>
    <s v="KEFRI Local nursery Self-raised"/>
    <n v="1"/>
    <n v="0"/>
    <n v="1"/>
    <n v="0"/>
    <n v="1"/>
    <n v="0"/>
    <m/>
    <s v="Shade Timber Fodder Fruits Fuelwood Income generation Environmental reasons (erosion control, windbreak, etc)"/>
    <x v="0"/>
    <x v="0"/>
    <x v="1"/>
    <x v="0"/>
    <x v="1"/>
    <x v="1"/>
    <x v="1"/>
    <x v="0"/>
    <n v="0"/>
    <m/>
    <m/>
    <s v="Tamarindus indica (Tamarind) Melia Volkensii Melia azederach Neem (Azadirachta indica) Senna siamea  Dalbergia melanoxylon Mango Terminalia brownii Moringa oleifera Passion fruit"/>
    <x v="1"/>
    <x v="0"/>
    <x v="1"/>
    <x v="0"/>
    <x v="1"/>
    <x v="0"/>
    <x v="1"/>
    <x v="0"/>
    <x v="0"/>
    <x v="0"/>
    <x v="0"/>
    <x v="0"/>
    <x v="0"/>
    <x v="0"/>
    <x v="1"/>
    <x v="0"/>
    <x v="0"/>
    <x v="0"/>
    <x v="0"/>
    <x v="1"/>
    <x v="0"/>
    <x v="0"/>
    <x v="1"/>
    <x v="0"/>
    <x v="0"/>
    <x v="0"/>
    <x v="0"/>
    <x v="1"/>
    <x v="0"/>
    <m/>
    <x v="0"/>
    <x v="58"/>
    <x v="1"/>
    <x v="59"/>
    <x v="14"/>
    <x v="59"/>
    <x v="14"/>
    <x v="58"/>
    <x v="0"/>
    <x v="59"/>
    <x v="43"/>
    <x v="53"/>
    <m/>
    <x v="0"/>
    <m/>
    <s v="Through local leaders"/>
    <x v="1"/>
    <x v="0"/>
    <x v="1"/>
    <x v="0"/>
    <x v="0"/>
    <m/>
    <x v="59"/>
    <x v="52"/>
    <x v="57"/>
    <n v="634186445"/>
    <s v="c6c9b9dc-cdac-4af3-9e29-58e9caa3b7c6"/>
    <d v="2025-12-19T16:21:13"/>
    <m/>
    <m/>
    <s v="submitted_via_web"/>
    <m/>
    <s v="vJPceuhERXDBSEb667dJra"/>
    <m/>
    <s v="uuid:c6c9b9dc-cdac-4af3-9e29-58e9caa3b7c6"/>
    <n v="73"/>
  </r>
  <r>
    <d v="2025-12-17T09:53:38"/>
    <d v="2025-12-19T12:53:16"/>
    <m/>
    <m/>
    <m/>
    <s v="Yes, I agree"/>
    <m/>
    <s v="Faith Kyengo"/>
    <d v="2025-12-17T00:00:00"/>
    <s v="Usalama"/>
    <s v="-2.448202 37.969215 940 5"/>
    <x v="60"/>
    <x v="60"/>
    <x v="57"/>
    <n v="5"/>
    <m/>
    <s v="Queen mbuya"/>
    <x v="0"/>
    <x v="4"/>
    <m/>
    <n v="1"/>
    <n v="4"/>
    <n v="117634006"/>
    <x v="1"/>
    <x v="1"/>
    <m/>
    <x v="7"/>
    <x v="0"/>
    <x v="1"/>
    <x v="1"/>
    <x v="0"/>
    <x v="0"/>
    <x v="0"/>
    <x v="1"/>
    <s v="Livestock keeping  Crop farming "/>
    <x v="1"/>
    <x v="1"/>
    <x v="2"/>
    <x v="1"/>
    <x v="1"/>
    <m/>
    <s v="KEFRI Local nursery"/>
    <n v="1"/>
    <n v="0"/>
    <n v="1"/>
    <n v="0"/>
    <n v="0"/>
    <n v="0"/>
    <m/>
    <s v="Shade Timber Fodder Fruits Fuelwood Boundary marking Environmental reasons (erosion control, windbreak, etc)"/>
    <x v="0"/>
    <x v="0"/>
    <x v="1"/>
    <x v="0"/>
    <x v="1"/>
    <x v="0"/>
    <x v="0"/>
    <x v="0"/>
    <n v="0"/>
    <m/>
    <m/>
    <s v="Tamarindus indica (Tamarind) Melia Volkensii Melia azederach Neem (Azadirachta indica) Senna siamea  Dalbergia melanoxylon Mango Terminalia brownii Moringa oleifera Passion fruit"/>
    <x v="1"/>
    <x v="0"/>
    <x v="1"/>
    <x v="0"/>
    <x v="1"/>
    <x v="0"/>
    <x v="1"/>
    <x v="0"/>
    <x v="0"/>
    <x v="0"/>
    <x v="0"/>
    <x v="0"/>
    <x v="0"/>
    <x v="0"/>
    <x v="1"/>
    <x v="0"/>
    <x v="0"/>
    <x v="0"/>
    <x v="0"/>
    <x v="1"/>
    <x v="0"/>
    <x v="0"/>
    <x v="1"/>
    <x v="0"/>
    <x v="0"/>
    <x v="0"/>
    <x v="0"/>
    <x v="1"/>
    <x v="0"/>
    <m/>
    <x v="1"/>
    <x v="59"/>
    <x v="2"/>
    <x v="60"/>
    <x v="0"/>
    <x v="60"/>
    <x v="9"/>
    <x v="59"/>
    <x v="6"/>
    <x v="60"/>
    <x v="44"/>
    <x v="54"/>
    <m/>
    <x v="0"/>
    <m/>
    <s v="Through local leaders"/>
    <x v="1"/>
    <x v="0"/>
    <x v="1"/>
    <x v="0"/>
    <x v="0"/>
    <m/>
    <x v="60"/>
    <x v="53"/>
    <x v="58"/>
    <n v="634186459"/>
    <s v="4ad61961-4ae6-4b44-a6e9-46f06aa91d34"/>
    <d v="2025-12-19T16:21:14"/>
    <m/>
    <m/>
    <s v="submitted_via_web"/>
    <m/>
    <s v="vJPceuhERXDBSEb667dJra"/>
    <m/>
    <s v="uuid:4ad61961-4ae6-4b44-a6e9-46f06aa91d34"/>
    <n v="74"/>
  </r>
  <r>
    <d v="2025-12-17T10:23:36"/>
    <d v="2025-12-19T13:06:30"/>
    <m/>
    <m/>
    <m/>
    <s v="Yes, I agree"/>
    <m/>
    <s v="Faith Kyengo"/>
    <d v="2025-12-17T00:00:00"/>
    <s v="Usalama"/>
    <s v="-2.450826 37.97104 972.1999999999999 78.9000015258789"/>
    <x v="61"/>
    <x v="61"/>
    <x v="58"/>
    <n v="78.900001525878906"/>
    <m/>
    <s v="Martha Nduva"/>
    <x v="0"/>
    <x v="4"/>
    <m/>
    <n v="2"/>
    <n v="5"/>
    <n v="745603383"/>
    <x v="1"/>
    <x v="2"/>
    <m/>
    <x v="4"/>
    <x v="0"/>
    <x v="1"/>
    <x v="0"/>
    <x v="0"/>
    <x v="0"/>
    <x v="0"/>
    <x v="1"/>
    <s v="Crop farming "/>
    <x v="2"/>
    <x v="1"/>
    <x v="2"/>
    <x v="1"/>
    <x v="1"/>
    <m/>
    <s v="KEFRI Local nursery"/>
    <n v="1"/>
    <n v="0"/>
    <n v="1"/>
    <n v="0"/>
    <n v="0"/>
    <n v="0"/>
    <m/>
    <s v="Shade Timber Fruits Fuelwood Boundary marking Environmental reasons (erosion control, windbreak, etc)"/>
    <x v="0"/>
    <x v="0"/>
    <x v="0"/>
    <x v="0"/>
    <x v="1"/>
    <x v="0"/>
    <x v="0"/>
    <x v="0"/>
    <n v="0"/>
    <m/>
    <m/>
    <s v="Tamarindus indica (Tamarind) Melia Volkensii Melia azederach Neem (Azadirachta indica) Senna siamea  Dalbergia melanoxylon Mango Terminalia brownii Moringa oleifera Passion fruit"/>
    <x v="1"/>
    <x v="0"/>
    <x v="1"/>
    <x v="0"/>
    <x v="1"/>
    <x v="0"/>
    <x v="1"/>
    <x v="0"/>
    <x v="0"/>
    <x v="0"/>
    <x v="0"/>
    <x v="0"/>
    <x v="0"/>
    <x v="0"/>
    <x v="1"/>
    <x v="0"/>
    <x v="0"/>
    <x v="0"/>
    <x v="0"/>
    <x v="1"/>
    <x v="0"/>
    <x v="0"/>
    <x v="1"/>
    <x v="0"/>
    <x v="0"/>
    <x v="0"/>
    <x v="0"/>
    <x v="1"/>
    <x v="0"/>
    <m/>
    <x v="1"/>
    <x v="60"/>
    <x v="2"/>
    <x v="61"/>
    <x v="11"/>
    <x v="61"/>
    <x v="15"/>
    <x v="60"/>
    <x v="11"/>
    <x v="61"/>
    <x v="44"/>
    <x v="55"/>
    <m/>
    <x v="0"/>
    <m/>
    <s v="Through local leaders"/>
    <x v="1"/>
    <x v="0"/>
    <x v="1"/>
    <x v="0"/>
    <x v="0"/>
    <m/>
    <x v="61"/>
    <x v="54"/>
    <x v="59"/>
    <n v="634186469"/>
    <s v="d0102d83-84c4-4eea-a3a7-d710a588ab2f"/>
    <d v="2025-12-19T16:21:14"/>
    <m/>
    <m/>
    <s v="submitted_via_web"/>
    <m/>
    <s v="vJPceuhERXDBSEb667dJra"/>
    <m/>
    <s v="uuid:d0102d83-84c4-4eea-a3a7-d710a588ab2f"/>
    <n v="75"/>
  </r>
  <r>
    <d v="2025-12-17T10:31:50"/>
    <d v="2025-12-19T13:44:24"/>
    <m/>
    <m/>
    <m/>
    <s v="Yes, I agree"/>
    <m/>
    <s v="Faith Kyengo"/>
    <d v="2025-12-17T00:00:00"/>
    <s v="Usalama village"/>
    <s v="-2.451907 37.970678 954.5 5.5"/>
    <x v="62"/>
    <x v="62"/>
    <x v="59"/>
    <n v="5.5"/>
    <m/>
    <s v="Agnes Nduku"/>
    <x v="0"/>
    <x v="3"/>
    <m/>
    <n v="1"/>
    <n v="2"/>
    <n v="721978337"/>
    <x v="1"/>
    <x v="2"/>
    <m/>
    <x v="0"/>
    <x v="0"/>
    <x v="0"/>
    <x v="0"/>
    <x v="0"/>
    <x v="0"/>
    <x v="0"/>
    <x v="1"/>
    <s v="Livestock keeping  Horticulture  Crop farming "/>
    <x v="1"/>
    <x v="1"/>
    <x v="1"/>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Dalbergia melanoxylon croton megalocarpus Mango Terminalia brownii Passion fruit"/>
    <x v="1"/>
    <x v="0"/>
    <x v="0"/>
    <x v="0"/>
    <x v="1"/>
    <x v="0"/>
    <x v="1"/>
    <x v="0"/>
    <x v="0"/>
    <x v="0"/>
    <x v="0"/>
    <x v="0"/>
    <x v="0"/>
    <x v="0"/>
    <x v="0"/>
    <x v="0"/>
    <x v="0"/>
    <x v="0"/>
    <x v="0"/>
    <x v="1"/>
    <x v="0"/>
    <x v="0"/>
    <x v="1"/>
    <x v="1"/>
    <x v="0"/>
    <x v="0"/>
    <x v="0"/>
    <x v="1"/>
    <x v="0"/>
    <m/>
    <x v="0"/>
    <x v="61"/>
    <x v="5"/>
    <x v="62"/>
    <x v="10"/>
    <x v="62"/>
    <x v="2"/>
    <x v="61"/>
    <x v="17"/>
    <x v="62"/>
    <x v="44"/>
    <x v="54"/>
    <m/>
    <x v="0"/>
    <m/>
    <s v="Through local leaders"/>
    <x v="1"/>
    <x v="0"/>
    <x v="1"/>
    <x v="0"/>
    <x v="0"/>
    <m/>
    <x v="62"/>
    <x v="55"/>
    <x v="60"/>
    <n v="634186475"/>
    <s v="b5754a19-3d2b-4cef-ab3b-93e095678675"/>
    <d v="2025-12-19T16:21:15"/>
    <m/>
    <m/>
    <s v="submitted_via_web"/>
    <m/>
    <s v="vJPceuhERXDBSEb667dJra"/>
    <m/>
    <s v="uuid:b5754a19-3d2b-4cef-ab3b-93e095678675"/>
    <n v="76"/>
  </r>
  <r>
    <d v="2025-12-17T11:24:01"/>
    <d v="2025-12-19T13:55:24"/>
    <m/>
    <m/>
    <m/>
    <s v="Yes, I agree"/>
    <m/>
    <s v="Faith Kyengo"/>
    <d v="2025-12-17T00:00:00"/>
    <s v="Usalama"/>
    <s v="-2.452028 37.970942 929.4 13.100000381469727"/>
    <x v="63"/>
    <x v="63"/>
    <x v="60"/>
    <n v="13.10000038146973"/>
    <m/>
    <s v="Jane Muasa"/>
    <x v="0"/>
    <x v="0"/>
    <m/>
    <n v="2"/>
    <n v="3"/>
    <n v="714196556"/>
    <x v="13"/>
    <x v="2"/>
    <m/>
    <x v="8"/>
    <x v="0"/>
    <x v="1"/>
    <x v="0"/>
    <x v="1"/>
    <x v="5"/>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Melia azederach Neem (Azadirachta indica) Senna siamea  Dalbergia melanoxylon Mango Terminalia brownii Moringa oleifera Passion fruit"/>
    <x v="1"/>
    <x v="0"/>
    <x v="1"/>
    <x v="0"/>
    <x v="1"/>
    <x v="0"/>
    <x v="1"/>
    <x v="0"/>
    <x v="0"/>
    <x v="0"/>
    <x v="0"/>
    <x v="0"/>
    <x v="0"/>
    <x v="0"/>
    <x v="1"/>
    <x v="0"/>
    <x v="0"/>
    <x v="0"/>
    <x v="0"/>
    <x v="1"/>
    <x v="0"/>
    <x v="0"/>
    <x v="1"/>
    <x v="0"/>
    <x v="0"/>
    <x v="0"/>
    <x v="0"/>
    <x v="1"/>
    <x v="0"/>
    <m/>
    <x v="0"/>
    <x v="62"/>
    <x v="5"/>
    <x v="63"/>
    <x v="11"/>
    <x v="63"/>
    <x v="2"/>
    <x v="62"/>
    <x v="6"/>
    <x v="63"/>
    <x v="44"/>
    <x v="29"/>
    <m/>
    <x v="1"/>
    <m/>
    <s v="Through local leaders"/>
    <x v="1"/>
    <x v="0"/>
    <x v="1"/>
    <x v="0"/>
    <x v="0"/>
    <m/>
    <x v="63"/>
    <x v="56"/>
    <x v="61"/>
    <n v="634186483"/>
    <s v="d06ade55-a62d-4ac5-8c1d-fdcb66b1ab11"/>
    <d v="2025-12-19T16:21:15"/>
    <m/>
    <m/>
    <s v="submitted_via_web"/>
    <m/>
    <s v="vJPceuhERXDBSEb667dJra"/>
    <m/>
    <s v="uuid:d06ade55-a62d-4ac5-8c1d-fdcb66b1ab11"/>
    <n v="77"/>
  </r>
  <r>
    <d v="2025-12-17T12:08:40"/>
    <d v="2025-12-19T14:04:50"/>
    <m/>
    <m/>
    <m/>
    <s v="Yes, I agree"/>
    <m/>
    <s v="Faith Kyengo"/>
    <d v="2025-12-17T00:00:00"/>
    <s v="Usalama village"/>
    <s v="-2.450062 37.968597 896.3 11.199999809265137"/>
    <x v="64"/>
    <x v="64"/>
    <x v="61"/>
    <n v="11.19999980926514"/>
    <m/>
    <s v="Ndolo Nywowe"/>
    <x v="1"/>
    <x v="5"/>
    <m/>
    <n v="3"/>
    <n v="3"/>
    <n v="797006936"/>
    <x v="3"/>
    <x v="1"/>
    <m/>
    <x v="4"/>
    <x v="0"/>
    <x v="1"/>
    <x v="0"/>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tortilis Acacia melifera Dalbergia melanoxylon Mango Terminalia brownii Passion fruit"/>
    <x v="1"/>
    <x v="0"/>
    <x v="0"/>
    <x v="0"/>
    <x v="1"/>
    <x v="0"/>
    <x v="0"/>
    <x v="1"/>
    <x v="0"/>
    <x v="0"/>
    <x v="0"/>
    <x v="0"/>
    <x v="0"/>
    <x v="0"/>
    <x v="1"/>
    <x v="0"/>
    <x v="0"/>
    <x v="0"/>
    <x v="0"/>
    <x v="1"/>
    <x v="0"/>
    <x v="0"/>
    <x v="1"/>
    <x v="1"/>
    <x v="0"/>
    <x v="0"/>
    <x v="0"/>
    <x v="1"/>
    <x v="0"/>
    <m/>
    <x v="0"/>
    <x v="63"/>
    <x v="5"/>
    <x v="64"/>
    <x v="0"/>
    <x v="64"/>
    <x v="9"/>
    <x v="63"/>
    <x v="14"/>
    <x v="64"/>
    <x v="24"/>
    <x v="29"/>
    <m/>
    <x v="0"/>
    <m/>
    <s v="Through local leaders"/>
    <x v="1"/>
    <x v="0"/>
    <x v="1"/>
    <x v="0"/>
    <x v="0"/>
    <m/>
    <x v="64"/>
    <x v="57"/>
    <x v="62"/>
    <n v="634186493"/>
    <s v="e6f1dbb8-3171-4175-b080-9274c75a4715"/>
    <d v="2025-12-19T16:21:16"/>
    <m/>
    <m/>
    <s v="submitted_via_web"/>
    <m/>
    <s v="vJPceuhERXDBSEb667dJra"/>
    <m/>
    <s v="uuid:e6f1dbb8-3171-4175-b080-9274c75a4715"/>
    <n v="78"/>
  </r>
  <r>
    <d v="2025-12-17T11:43:50"/>
    <d v="2025-12-19T14:23:17"/>
    <m/>
    <m/>
    <m/>
    <s v="Yes, I agree"/>
    <m/>
    <s v="Faith Kyengo"/>
    <d v="2025-12-17T00:00:00"/>
    <s v="Usalama village"/>
    <s v="-2.451703 37.96955 929.4 10.399999618530273"/>
    <x v="65"/>
    <x v="65"/>
    <x v="60"/>
    <n v="10.39999961853027"/>
    <m/>
    <s v="Gideon Ndolo"/>
    <x v="1"/>
    <x v="3"/>
    <m/>
    <n v="5"/>
    <n v="4"/>
    <n v="711778345"/>
    <x v="1"/>
    <x v="2"/>
    <m/>
    <x v="0"/>
    <x v="0"/>
    <x v="0"/>
    <x v="0"/>
    <x v="0"/>
    <x v="0"/>
    <x v="0"/>
    <x v="1"/>
    <s v="Livestock keeping  Horticulture  Crop farming "/>
    <x v="1"/>
    <x v="1"/>
    <x v="1"/>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Dalbergia melanoxylon Mango Passion fruit"/>
    <x v="1"/>
    <x v="0"/>
    <x v="0"/>
    <x v="0"/>
    <x v="1"/>
    <x v="0"/>
    <x v="1"/>
    <x v="0"/>
    <x v="0"/>
    <x v="0"/>
    <x v="0"/>
    <x v="0"/>
    <x v="0"/>
    <x v="0"/>
    <x v="1"/>
    <x v="0"/>
    <x v="0"/>
    <x v="0"/>
    <x v="0"/>
    <x v="1"/>
    <x v="0"/>
    <x v="0"/>
    <x v="0"/>
    <x v="1"/>
    <x v="0"/>
    <x v="0"/>
    <x v="0"/>
    <x v="1"/>
    <x v="0"/>
    <m/>
    <x v="1"/>
    <x v="64"/>
    <x v="2"/>
    <x v="65"/>
    <x v="6"/>
    <x v="65"/>
    <x v="2"/>
    <x v="55"/>
    <x v="15"/>
    <x v="65"/>
    <x v="44"/>
    <x v="53"/>
    <m/>
    <x v="0"/>
    <m/>
    <s v="Through local leaders"/>
    <x v="1"/>
    <x v="0"/>
    <x v="1"/>
    <x v="0"/>
    <x v="0"/>
    <m/>
    <x v="65"/>
    <x v="37"/>
    <x v="63"/>
    <n v="634186506"/>
    <s v="b33efa5a-64ec-47c6-a491-855428ef6277"/>
    <d v="2025-12-19T16:21:17"/>
    <m/>
    <m/>
    <s v="submitted_via_web"/>
    <m/>
    <s v="vJPceuhERXDBSEb667dJra"/>
    <m/>
    <s v="uuid:b33efa5a-64ec-47c6-a491-855428ef6277"/>
    <n v="79"/>
  </r>
  <r>
    <d v="2025-12-17T13:01:46"/>
    <d v="2025-12-19T14:41:54"/>
    <m/>
    <m/>
    <m/>
    <s v="Yes, I agree"/>
    <m/>
    <s v="Faith Kyengo"/>
    <d v="2025-12-17T00:00:00"/>
    <s v="Usalama village"/>
    <s v="-2.451007 37.968152 929 8.699999809265137"/>
    <x v="66"/>
    <x v="66"/>
    <x v="62"/>
    <n v="8.6999998092651367"/>
    <m/>
    <s v="Penina Nzau"/>
    <x v="0"/>
    <x v="3"/>
    <m/>
    <n v="3"/>
    <n v="3"/>
    <n v="705165335"/>
    <x v="1"/>
    <x v="2"/>
    <m/>
    <x v="4"/>
    <x v="0"/>
    <x v="1"/>
    <x v="0"/>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Acacia melifera Dalbergia melanoxylon croton megalocarpus Mango Terminalia brownii Passion fruit"/>
    <x v="1"/>
    <x v="0"/>
    <x v="0"/>
    <x v="0"/>
    <x v="1"/>
    <x v="0"/>
    <x v="1"/>
    <x v="1"/>
    <x v="0"/>
    <x v="0"/>
    <x v="0"/>
    <x v="0"/>
    <x v="0"/>
    <x v="0"/>
    <x v="0"/>
    <x v="0"/>
    <x v="0"/>
    <x v="0"/>
    <x v="0"/>
    <x v="1"/>
    <x v="0"/>
    <x v="0"/>
    <x v="1"/>
    <x v="1"/>
    <x v="0"/>
    <x v="0"/>
    <x v="0"/>
    <x v="1"/>
    <x v="0"/>
    <m/>
    <x v="2"/>
    <x v="65"/>
    <x v="2"/>
    <x v="66"/>
    <x v="3"/>
    <x v="66"/>
    <x v="9"/>
    <x v="64"/>
    <x v="14"/>
    <x v="66"/>
    <x v="24"/>
    <x v="56"/>
    <m/>
    <x v="0"/>
    <m/>
    <s v="Through local leaders"/>
    <x v="1"/>
    <x v="0"/>
    <x v="1"/>
    <x v="0"/>
    <x v="0"/>
    <m/>
    <x v="66"/>
    <x v="58"/>
    <x v="64"/>
    <n v="634186513"/>
    <s v="a1a85036-3dc9-4914-8098-630921fd4f98"/>
    <d v="2025-12-19T16:21:18"/>
    <m/>
    <m/>
    <s v="submitted_via_web"/>
    <m/>
    <s v="vJPceuhERXDBSEb667dJra"/>
    <m/>
    <s v="uuid:a1a85036-3dc9-4914-8098-630921fd4f98"/>
    <n v="80"/>
  </r>
  <r>
    <d v="2025-11-26T14:15:50"/>
    <d v="2025-12-19T14:44:06"/>
    <m/>
    <m/>
    <m/>
    <s v="Yes, I agree"/>
    <m/>
    <s v="Faith Kyengo"/>
    <d v="2025-11-26T00:00:00"/>
    <s v="Nguumo"/>
    <s v="-2.34569 37.872562 1001.7 7.199999809265137"/>
    <x v="67"/>
    <x v="67"/>
    <x v="63"/>
    <n v="7.1999998092651367"/>
    <m/>
    <s v="Mwathi Musau"/>
    <x v="1"/>
    <x v="8"/>
    <m/>
    <n v="2"/>
    <n v="2"/>
    <n v="704387518"/>
    <x v="1"/>
    <x v="0"/>
    <m/>
    <x v="7"/>
    <x v="0"/>
    <x v="1"/>
    <x v="1"/>
    <x v="0"/>
    <x v="0"/>
    <x v="1"/>
    <x v="1"/>
    <s v="Livestock keeping  Grass planting  Horticulture  Crop farming "/>
    <x v="1"/>
    <x v="2"/>
    <x v="1"/>
    <x v="1"/>
    <x v="1"/>
    <n v="2"/>
    <s v="KEFRI Local nursery Self-raised"/>
    <n v="1"/>
    <n v="0"/>
    <n v="1"/>
    <n v="0"/>
    <n v="1"/>
    <n v="0"/>
    <m/>
    <s v="Shade Timber Fodder Fruits Fuelwood Boundary marking Income generation Environmental reasons (erosion control, windbreak, etc)"/>
    <x v="0"/>
    <x v="0"/>
    <x v="1"/>
    <x v="0"/>
    <x v="1"/>
    <x v="0"/>
    <x v="1"/>
    <x v="0"/>
    <n v="0"/>
    <m/>
    <m/>
    <s v="Tamarindus indica (Tamarind) Melia Volkensii Neem (Azadirachta indica) Senna siamea  Senna abbreviata Acacia tortilis croton megalocarpus Mango Balanites aegyptiaca Terminalia brownii"/>
    <x v="1"/>
    <x v="0"/>
    <x v="0"/>
    <x v="0"/>
    <x v="1"/>
    <x v="1"/>
    <x v="0"/>
    <x v="0"/>
    <x v="0"/>
    <x v="0"/>
    <x v="0"/>
    <x v="0"/>
    <x v="1"/>
    <x v="0"/>
    <x v="0"/>
    <x v="0"/>
    <x v="0"/>
    <x v="0"/>
    <x v="0"/>
    <x v="1"/>
    <x v="0"/>
    <x v="1"/>
    <x v="1"/>
    <x v="1"/>
    <x v="0"/>
    <x v="0"/>
    <x v="1"/>
    <x v="1"/>
    <x v="0"/>
    <m/>
    <x v="2"/>
    <x v="66"/>
    <x v="11"/>
    <x v="67"/>
    <x v="2"/>
    <x v="67"/>
    <x v="0"/>
    <x v="65"/>
    <x v="7"/>
    <x v="67"/>
    <x v="45"/>
    <x v="57"/>
    <m/>
    <x v="0"/>
    <m/>
    <s v="Group distribution"/>
    <x v="0"/>
    <x v="0"/>
    <x v="0"/>
    <x v="0"/>
    <x v="0"/>
    <m/>
    <x v="67"/>
    <x v="59"/>
    <x v="65"/>
    <n v="634186525"/>
    <s v="faf671f6-22e0-46f1-adf9-20b0471ae025"/>
    <d v="2025-12-19T16:21:18"/>
    <m/>
    <m/>
    <s v="submitted_via_web"/>
    <m/>
    <s v="vJPceuhERXDBSEb667dJra"/>
    <m/>
    <s v="uuid:faf671f6-22e0-46f1-adf9-20b0471ae025"/>
    <n v="81"/>
  </r>
  <r>
    <d v="2025-12-17T10:02:56"/>
    <d v="2025-12-19T19:29:11"/>
    <m/>
    <m/>
    <m/>
    <s v="Yes, I agree"/>
    <m/>
    <s v="Faith Kyengo"/>
    <d v="2025-12-17T00:00:00"/>
    <s v="Usalama village"/>
    <s v="-2.448082 37.969633 938.8 4.400000095367432"/>
    <x v="68"/>
    <x v="59"/>
    <x v="52"/>
    <n v="4.4000000953674316"/>
    <m/>
    <s v="Jones Kilungya"/>
    <x v="1"/>
    <x v="3"/>
    <m/>
    <n v="4"/>
    <n v="3"/>
    <m/>
    <x v="1"/>
    <x v="2"/>
    <m/>
    <x v="7"/>
    <x v="0"/>
    <x v="1"/>
    <x v="1"/>
    <x v="0"/>
    <x v="0"/>
    <x v="0"/>
    <x v="1"/>
    <s v="Livestock keeping  Crop farming "/>
    <x v="1"/>
    <x v="1"/>
    <x v="2"/>
    <x v="1"/>
    <x v="1"/>
    <m/>
    <s v="KEFRI Local nursery"/>
    <n v="1"/>
    <n v="0"/>
    <n v="1"/>
    <n v="0"/>
    <n v="0"/>
    <n v="0"/>
    <m/>
    <s v="Shade Timber Fodder Fruits Fuelwood Boundary marking Income generation Environmental reasons (erosion control, windbreak, etc)"/>
    <x v="0"/>
    <x v="0"/>
    <x v="1"/>
    <x v="0"/>
    <x v="1"/>
    <x v="0"/>
    <x v="1"/>
    <x v="0"/>
    <n v="0"/>
    <m/>
    <m/>
    <s v="Tamarindus indica (Tamarind) Melia Volkensii Neem (Azadirachta indica) Senna siamea  Dalbergia melanoxylon croton megalocarpus Mango Terminalia brownii Moringa oleifera Passion fruit"/>
    <x v="1"/>
    <x v="0"/>
    <x v="0"/>
    <x v="0"/>
    <x v="1"/>
    <x v="0"/>
    <x v="1"/>
    <x v="0"/>
    <x v="0"/>
    <x v="0"/>
    <x v="0"/>
    <x v="0"/>
    <x v="0"/>
    <x v="0"/>
    <x v="0"/>
    <x v="0"/>
    <x v="0"/>
    <x v="0"/>
    <x v="0"/>
    <x v="1"/>
    <x v="0"/>
    <x v="0"/>
    <x v="1"/>
    <x v="0"/>
    <x v="0"/>
    <x v="0"/>
    <x v="0"/>
    <x v="1"/>
    <x v="0"/>
    <m/>
    <x v="0"/>
    <x v="67"/>
    <x v="5"/>
    <x v="68"/>
    <x v="0"/>
    <x v="68"/>
    <x v="9"/>
    <x v="66"/>
    <x v="15"/>
    <x v="68"/>
    <x v="24"/>
    <x v="53"/>
    <m/>
    <x v="0"/>
    <m/>
    <s v="Through local leaders"/>
    <x v="1"/>
    <x v="0"/>
    <x v="1"/>
    <x v="0"/>
    <x v="0"/>
    <m/>
    <x v="68"/>
    <x v="37"/>
    <x v="48"/>
    <n v="634193356"/>
    <s v="801d3609-2cae-498b-8aae-868832827a94"/>
    <d v="2025-12-19T16:29:14"/>
    <m/>
    <m/>
    <s v="submitted_via_web"/>
    <m/>
    <s v="vJPceuhERXDBSEb667dJra"/>
    <m/>
    <s v="uuid:801d3609-2cae-498b-8aae-868832827a94"/>
    <n v="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68"/>
  </r>
  <r>
    <x v="1"/>
    <n v="67"/>
  </r>
  <r>
    <x v="2"/>
    <n v="65"/>
  </r>
  <r>
    <x v="3"/>
    <n v="59"/>
  </r>
  <r>
    <x v="4"/>
    <n v="58"/>
  </r>
  <r>
    <x v="5"/>
    <n v="51"/>
  </r>
  <r>
    <x v="6"/>
    <n v="49"/>
  </r>
  <r>
    <x v="7"/>
    <n v="46"/>
  </r>
  <r>
    <x v="8"/>
    <n v="45"/>
  </r>
  <r>
    <x v="9"/>
    <n v="39"/>
  </r>
  <r>
    <x v="10"/>
    <n v="22"/>
  </r>
  <r>
    <x v="11"/>
    <n v="21"/>
  </r>
  <r>
    <x v="12"/>
    <n v="20"/>
  </r>
  <r>
    <x v="13"/>
    <n v="17"/>
  </r>
  <r>
    <x v="14"/>
    <n v="12"/>
  </r>
  <r>
    <x v="15"/>
    <n v="11"/>
  </r>
  <r>
    <x v="16"/>
    <n v="7"/>
  </r>
  <r>
    <x v="17"/>
    <n v="4"/>
  </r>
  <r>
    <x v="18"/>
    <n v="3"/>
  </r>
  <r>
    <x v="19"/>
    <n v="2"/>
  </r>
  <r>
    <x v="20"/>
    <n v="2"/>
  </r>
  <r>
    <x v="21"/>
    <n v="0"/>
  </r>
  <r>
    <x v="22"/>
    <n v="0"/>
  </r>
  <r>
    <x v="23"/>
    <n v="0"/>
  </r>
  <r>
    <x v="24"/>
    <n v="0"/>
  </r>
  <r>
    <x v="25"/>
    <n v="0"/>
  </r>
  <r>
    <x v="26"/>
    <n v="0"/>
  </r>
  <r>
    <x v="27"/>
    <n v="0"/>
  </r>
  <r>
    <x v="28"/>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0"/>
  </r>
  <r>
    <x v="1"/>
    <n v="4"/>
  </r>
  <r>
    <x v="2"/>
    <n v="57"/>
  </r>
  <r>
    <x v="3"/>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B3B59-DC7E-4934-8BA4-CD72590F5D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6" firstHeaderRow="1"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17"/>
  </rowFields>
  <rowItems count="3">
    <i>
      <x/>
    </i>
    <i>
      <x v="1"/>
    </i>
    <i t="grand">
      <x/>
    </i>
  </rowItems>
  <colItems count="1">
    <i/>
  </colItems>
  <dataFields count="1">
    <dataField name="Count of Gender" fld="17" subtotal="count" baseField="0" baseItem="0"/>
  </dataFields>
  <chartFormats count="9">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7" count="1" selected="0">
            <x v="0"/>
          </reference>
        </references>
      </pivotArea>
    </chartFormat>
    <chartFormat chart="10" format="2">
      <pivotArea type="data" outline="0" fieldPosition="0">
        <references count="2">
          <reference field="4294967294" count="1" selected="0">
            <x v="0"/>
          </reference>
          <reference field="17" count="1" selected="0">
            <x v="1"/>
          </reference>
        </references>
      </pivotArea>
    </chartFormat>
    <chartFormat chart="19" format="3" series="1">
      <pivotArea type="data" outline="0" fieldPosition="0">
        <references count="1">
          <reference field="4294967294" count="1" selected="0">
            <x v="0"/>
          </reference>
        </references>
      </pivotArea>
    </chartFormat>
    <chartFormat chart="19" format="4">
      <pivotArea type="data" outline="0" fieldPosition="0">
        <references count="2">
          <reference field="4294967294" count="1" selected="0">
            <x v="0"/>
          </reference>
          <reference field="17" count="1" selected="0">
            <x v="0"/>
          </reference>
        </references>
      </pivotArea>
    </chartFormat>
    <chartFormat chart="19" format="5">
      <pivotArea type="data" outline="0" fieldPosition="0">
        <references count="2">
          <reference field="4294967294" count="1" selected="0">
            <x v="0"/>
          </reference>
          <reference field="17"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7" count="1" selected="0">
            <x v="0"/>
          </reference>
        </references>
      </pivotArea>
    </chartFormat>
    <chartFormat chart="20"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B8A402-445C-41D3-9DC3-496BE8BAED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4" firstHeaderRow="1" firstDataRow="2"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Col" showAll="0">
      <items count="3">
        <item x="0"/>
        <item x="1"/>
        <item t="default"/>
      </items>
    </pivotField>
    <pivotField axis="axisRow" dataField="1" showAll="0">
      <items count="10">
        <item x="7"/>
        <item x="6"/>
        <item x="8"/>
        <item x="4"/>
        <item x="0"/>
        <item x="1"/>
        <item x="5"/>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18"/>
  </rowFields>
  <rowItems count="10">
    <i>
      <x/>
    </i>
    <i>
      <x v="1"/>
    </i>
    <i>
      <x v="2"/>
    </i>
    <i>
      <x v="3"/>
    </i>
    <i>
      <x v="4"/>
    </i>
    <i>
      <x v="5"/>
    </i>
    <i>
      <x v="6"/>
    </i>
    <i>
      <x v="7"/>
    </i>
    <i>
      <x v="8"/>
    </i>
    <i t="grand">
      <x/>
    </i>
  </rowItems>
  <colFields count="1">
    <field x="17"/>
  </colFields>
  <colItems count="3">
    <i>
      <x/>
    </i>
    <i>
      <x v="1"/>
    </i>
    <i t="grand">
      <x/>
    </i>
  </colItems>
  <dataFields count="1">
    <dataField name="Count of Age" fld="18"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7" format="0" series="1">
      <pivotArea type="data" outline="0" fieldPosition="0">
        <references count="2">
          <reference field="4294967294" count="1" selected="0">
            <x v="0"/>
          </reference>
          <reference field="17" count="1" selected="0">
            <x v="0"/>
          </reference>
        </references>
      </pivotArea>
    </chartFormat>
    <chartFormat chart="7"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38844F-9871-4E9B-B472-626578201BB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3" firstHeaderRow="1"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dataField="1" showAll="0">
      <items count="10">
        <item x="7"/>
        <item x="6"/>
        <item x="8"/>
        <item x="4"/>
        <item x="0"/>
        <item x="1"/>
        <item x="5"/>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18"/>
  </rowFields>
  <rowItems count="10">
    <i>
      <x/>
    </i>
    <i>
      <x v="1"/>
    </i>
    <i>
      <x v="2"/>
    </i>
    <i>
      <x v="3"/>
    </i>
    <i>
      <x v="4"/>
    </i>
    <i>
      <x v="5"/>
    </i>
    <i>
      <x v="6"/>
    </i>
    <i>
      <x v="7"/>
    </i>
    <i>
      <x v="8"/>
    </i>
    <i t="grand">
      <x/>
    </i>
  </rowItems>
  <colItems count="1">
    <i/>
  </colItems>
  <dataFields count="1">
    <dataField name="Count of Age" fld="18"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A341B8-D04E-4AFA-B210-6A2107014C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6" firstHeaderRow="1" firstDataRow="2"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axis="axisRow" dataField="1" showAll="0">
      <items count="17">
        <item h="1" x="2"/>
        <item h="1" x="7"/>
        <item h="1" m="1" x="15"/>
        <item h="1" x="3"/>
        <item h="1" m="1" x="14"/>
        <item h="1" x="9"/>
        <item h="1" x="6"/>
        <item h="1" x="8"/>
        <item h="1" x="12"/>
        <item h="1" x="5"/>
        <item x="1"/>
        <item h="1" x="4"/>
        <item h="1" x="10"/>
        <item h="1" x="13"/>
        <item h="1" x="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23"/>
  </rowFields>
  <rowItems count="2">
    <i>
      <x v="10"/>
    </i>
    <i t="grand">
      <x/>
    </i>
  </rowItems>
  <colFields count="1">
    <field x="17"/>
  </colFields>
  <colItems count="3">
    <i>
      <x/>
    </i>
    <i>
      <x v="1"/>
    </i>
    <i t="grand">
      <x/>
    </i>
  </colItems>
  <dataFields count="1">
    <dataField name="Count of Occupation of the respondent" fld="23" subtotal="count" baseField="0" baseItem="0"/>
  </dataFields>
  <chartFormats count="2">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19902D-7486-4890-A47B-BF2C1050D7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24"/>
  </rowFields>
  <rowItems count="4">
    <i>
      <x/>
    </i>
    <i>
      <x v="1"/>
    </i>
    <i>
      <x v="2"/>
    </i>
    <i t="grand">
      <x/>
    </i>
  </rowItems>
  <colItems count="1">
    <i/>
  </colItems>
  <dataFields count="1">
    <dataField name="Count of Highest level of education" fld="2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AEC775-ED67-4313-B71F-6C9901CBD7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Occupation" colHeaderCaption="Gender">
  <location ref="A3:E14" firstHeaderRow="1" firstDataRow="2"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10">
        <item x="7"/>
        <item x="6"/>
        <item x="8"/>
        <item x="4"/>
        <item x="0"/>
        <item x="1"/>
        <item x="5"/>
        <item x="2"/>
        <item x="3"/>
        <item t="default"/>
      </items>
    </pivotField>
    <pivotField showAll="0"/>
    <pivotField showAll="0"/>
    <pivotField showAll="0"/>
    <pivotField showAll="0"/>
    <pivotField showAll="0"/>
    <pivotField axis="axisCol"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18"/>
  </rowFields>
  <rowItems count="10">
    <i>
      <x/>
    </i>
    <i>
      <x v="1"/>
    </i>
    <i>
      <x v="2"/>
    </i>
    <i>
      <x v="3"/>
    </i>
    <i>
      <x v="4"/>
    </i>
    <i>
      <x v="5"/>
    </i>
    <i>
      <x v="6"/>
    </i>
    <i>
      <x v="7"/>
    </i>
    <i>
      <x v="8"/>
    </i>
    <i t="grand">
      <x/>
    </i>
  </rowItems>
  <colFields count="1">
    <field x="24"/>
  </colFields>
  <colItems count="4">
    <i>
      <x/>
    </i>
    <i>
      <x v="1"/>
    </i>
    <i>
      <x v="2"/>
    </i>
    <i t="grand">
      <x/>
    </i>
  </colItems>
  <dataFields count="1">
    <dataField name="Count of Highest level of education" fld="24" subtotal="count" baseField="0" baseItem="0"/>
  </dataFields>
  <chartFormats count="3">
    <chartFormat chart="19" format="0" series="1">
      <pivotArea type="data" outline="0" fieldPosition="0">
        <references count="2">
          <reference field="4294967294" count="1" selected="0">
            <x v="0"/>
          </reference>
          <reference field="24" count="1" selected="0">
            <x v="0"/>
          </reference>
        </references>
      </pivotArea>
    </chartFormat>
    <chartFormat chart="19" format="1" series="1">
      <pivotArea type="data" outline="0" fieldPosition="0">
        <references count="2">
          <reference field="4294967294" count="1" selected="0">
            <x v="0"/>
          </reference>
          <reference field="24" count="1" selected="0">
            <x v="1"/>
          </reference>
        </references>
      </pivotArea>
    </chartFormat>
    <chartFormat chart="19" format="2"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9390E0-0ACC-4AAF-B033-ED6F791B47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E6" firstHeaderRow="0"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10">
        <item x="7"/>
        <item x="6"/>
        <item x="8"/>
        <item x="4"/>
        <item x="0"/>
        <item x="1"/>
        <item x="5"/>
        <item x="2"/>
        <item x="3"/>
        <item t="default"/>
      </items>
    </pivotField>
    <pivotField showAll="0"/>
    <pivotField showAll="0"/>
    <pivotField showAll="0"/>
    <pivotField showAll="0"/>
    <pivotField showAll="0"/>
    <pivotField showAll="0"/>
    <pivotField showAll="0"/>
    <pivotField showAll="0"/>
    <pivotField dataField="1" showAll="0" sortType="descending">
      <items count="3">
        <item sd="0" x="0"/>
        <item h="1" x="1"/>
        <item t="default"/>
      </items>
    </pivotField>
    <pivotField dataField="1" showAll="0">
      <items count="3">
        <item sd="0" x="0"/>
        <item sd="0" x="1"/>
        <item t="default"/>
      </items>
    </pivotField>
    <pivotField dataField="1" showAll="0">
      <items count="3">
        <item h="1" x="0"/>
        <item sd="0" x="1"/>
        <item t="default"/>
      </items>
    </pivotField>
    <pivotField dataField="1" showAll="0">
      <items count="3">
        <item sd="0" x="0"/>
        <item sd="0" x="1"/>
        <item t="default"/>
      </items>
    </pivotField>
    <pivotField showAll="0">
      <items count="8">
        <item x="6"/>
        <item x="2"/>
        <item x="5"/>
        <item x="4"/>
        <item x="1"/>
        <item x="3"/>
        <item x="0"/>
        <item t="default"/>
      </items>
    </pivotField>
    <pivotField showAll="0">
      <items count="3">
        <item x="0"/>
        <item x="1"/>
        <item t="default"/>
      </items>
    </pivotField>
    <pivotField showAll="0"/>
    <pivotField showAll="0"/>
    <pivotField showAll="0">
      <items count="4">
        <item x="2"/>
        <item x="1"/>
        <item x="0"/>
        <item t="default"/>
      </items>
    </pivotField>
    <pivotField showAll="0">
      <items count="4">
        <item x="1"/>
        <item x="2"/>
        <item x="0"/>
        <item t="default"/>
      </items>
    </pivotField>
    <pivotField showAll="0">
      <items count="4">
        <item x="2"/>
        <item x="1"/>
        <item x="0"/>
        <item t="default"/>
      </items>
    </pivotField>
    <pivotField showAll="0">
      <items count="3">
        <item x="1"/>
        <item x="0"/>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17"/>
  </rowFields>
  <rowItems count="3">
    <i>
      <x/>
    </i>
    <i>
      <x v="1"/>
    </i>
    <i t="grand">
      <x/>
    </i>
  </rowItems>
  <colFields count="1">
    <field x="-2"/>
  </colFields>
  <colItems count="4">
    <i>
      <x/>
    </i>
    <i i="1">
      <x v="1"/>
    </i>
    <i i="2">
      <x v="2"/>
    </i>
    <i i="3">
      <x v="3"/>
    </i>
  </colItems>
  <dataFields count="4">
    <dataField name="-Crop farming" fld="27" baseField="0" baseItem="0"/>
    <dataField name="-Other" fld="30" baseField="0" baseItem="0"/>
    <dataField name="-Agroforestry" fld="29" baseField="0" baseItem="0"/>
    <dataField name="-Livestock keeping" fld="28" baseField="0" baseItem="0"/>
  </dataField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3"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9F2EF3-43F5-447F-A424-B744BD8FF37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6" firstHeaderRow="1"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17">
        <item x="2"/>
        <item x="7"/>
        <item m="1" x="15"/>
        <item x="3"/>
        <item m="1" x="14"/>
        <item x="9"/>
        <item x="6"/>
        <item x="8"/>
        <item x="12"/>
        <item x="5"/>
        <item x="1"/>
        <item x="4"/>
        <item x="10"/>
        <item x="13"/>
        <item x="0"/>
        <item x="11"/>
        <item t="default"/>
      </items>
    </pivotField>
    <pivotField showAll="0">
      <items count="4">
        <item x="2"/>
        <item x="1"/>
        <item x="0"/>
        <item t="default"/>
      </items>
    </pivotField>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32"/>
  </rowFields>
  <rowItems count="3">
    <i>
      <x/>
    </i>
    <i>
      <x v="1"/>
    </i>
    <i t="grand">
      <x/>
    </i>
  </rowItems>
  <colItems count="1">
    <i/>
  </colItems>
  <dataFields count="1">
    <dataField name=" Practicing Forestry" fld="32" subtotal="count" baseField="0" baseItem="0"/>
  </dataFields>
  <chartFormats count="4">
    <chartFormat chart="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32" count="1" selected="0">
            <x v="0"/>
          </reference>
        </references>
      </pivotArea>
    </chartFormat>
    <chartFormat chart="33" format="2">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34117D-AA59-4B8B-9170-69B86FE232D6}"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6" firstHeaderRow="1" firstDataRow="2"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32"/>
  </rowFields>
  <rowItems count="2">
    <i>
      <x v="1"/>
    </i>
    <i t="grand">
      <x/>
    </i>
  </rowItems>
  <colFields count="1">
    <field x="17"/>
  </colFields>
  <colItems count="3">
    <i>
      <x/>
    </i>
    <i>
      <x v="1"/>
    </i>
    <i t="grand">
      <x/>
    </i>
  </colItems>
  <dataFields count="1">
    <dataField name="Count of Do you practice Forestry" fld="32" subtotal="count" baseField="0" baseItem="0"/>
  </dataFields>
  <chartFormats count="2">
    <chartFormat chart="4" format="0" series="1">
      <pivotArea type="data" outline="0" fieldPosition="0">
        <references count="2">
          <reference field="4294967294" count="1" selected="0">
            <x v="0"/>
          </reference>
          <reference field="17" count="1" selected="0">
            <x v="0"/>
          </reference>
        </references>
      </pivotArea>
    </chartFormat>
    <chartFormat chart="4" format="1"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BF7BD4-1EAD-4625-A12C-2F21F0B003B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6" firstHeaderRow="1" firstDataRow="2"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32"/>
  </rowFields>
  <rowItems count="2">
    <i>
      <x/>
    </i>
    <i t="grand">
      <x/>
    </i>
  </rowItems>
  <colFields count="1">
    <field x="17"/>
  </colFields>
  <colItems count="3">
    <i>
      <x/>
    </i>
    <i>
      <x v="1"/>
    </i>
    <i t="grand">
      <x/>
    </i>
  </colItems>
  <dataFields count="1">
    <dataField name="Count of Do you practice Forestry" fld="32" subtotal="count" showDataAs="percentOfTotal" baseField="0" baseItem="0" numFmtId="10"/>
  </dataFields>
  <chartFormats count="2">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871AC4-52CF-458B-BEEF-F4BB49450DF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6" firstHeaderRow="1" firstDataRow="2"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axis="axisRow" dataFiel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32"/>
  </rowFields>
  <rowItems count="2">
    <i>
      <x v="1"/>
    </i>
    <i t="grand">
      <x/>
    </i>
  </rowItems>
  <colFields count="1">
    <field x="24"/>
  </colFields>
  <colItems count="4">
    <i>
      <x/>
    </i>
    <i>
      <x v="1"/>
    </i>
    <i>
      <x v="2"/>
    </i>
    <i t="grand">
      <x/>
    </i>
  </colItems>
  <dataFields count="1">
    <dataField name="Count of Do you practice Forestry" fld="32" subtotal="count" baseField="0" baseItem="0"/>
  </dataFields>
  <chartFormats count="3">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5193E9-79EF-401C-A20B-047461FD887B}"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6" firstHeaderRow="1" firstDataRow="2"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axis="axisRow" dataFiel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32"/>
  </rowFields>
  <rowItems count="2">
    <i>
      <x/>
    </i>
    <i t="grand">
      <x/>
    </i>
  </rowItems>
  <colFields count="1">
    <field x="24"/>
  </colFields>
  <colItems count="4">
    <i>
      <x/>
    </i>
    <i>
      <x v="1"/>
    </i>
    <i>
      <x v="2"/>
    </i>
    <i t="grand">
      <x/>
    </i>
  </colItems>
  <dataFields count="1">
    <dataField name="Count of Do you practice Forestry" fld="32" subtotal="count" baseField="0" baseItem="0"/>
  </dataFields>
  <chartFormats count="3">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B927D0C-30C1-4148-BF9F-3A5F840D461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6" firstHeaderRow="1"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33"/>
  </rowFields>
  <rowItems count="3">
    <i>
      <x/>
    </i>
    <i>
      <x v="1"/>
    </i>
    <i t="grand">
      <x/>
    </i>
  </rowItems>
  <colItems count="1">
    <i/>
  </colItems>
  <dataFields count="1">
    <dataField name="Practice farm forestry (planting crops and trees)" fld="33" subtotal="count" baseField="0" baseItem="0"/>
  </dataFields>
  <chartFormats count="4">
    <chartFormat chart="2"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33" count="1" selected="0">
            <x v="0"/>
          </reference>
        </references>
      </pivotArea>
    </chartFormat>
    <chartFormat chart="27" format="2">
      <pivotArea type="data" outline="0" fieldPosition="0">
        <references count="2">
          <reference field="4294967294" count="1" selected="0">
            <x v="0"/>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FB257AD-C41C-490B-B7C0-73A98D40D0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Do you engage in forestry">
  <location ref="A3:C7" firstHeaderRow="1" firstDataRow="2"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7">
        <item h="1" x="2"/>
        <item h="1" x="7"/>
        <item h="1" m="1" x="15"/>
        <item h="1" x="3"/>
        <item h="1" m="1" x="14"/>
        <item h="1" x="9"/>
        <item h="1" x="6"/>
        <item h="1" x="8"/>
        <item h="1" x="12"/>
        <item h="1" x="5"/>
        <item x="1"/>
        <item h="1" x="4"/>
        <item h="1" x="10"/>
        <item h="1" x="13"/>
        <item h="1" x="0"/>
        <item h="1" x="11"/>
        <item t="default"/>
      </items>
    </pivotField>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33"/>
  </rowFields>
  <rowItems count="3">
    <i>
      <x/>
    </i>
    <i>
      <x v="1"/>
    </i>
    <i t="grand">
      <x/>
    </i>
  </rowItems>
  <colFields count="1">
    <field x="23"/>
  </colFields>
  <colItems count="2">
    <i>
      <x v="10"/>
    </i>
    <i t="grand">
      <x/>
    </i>
  </colItems>
  <dataFields count="1">
    <dataField name="Count of Do you practice farm forestry (planting crops and trees)" fld="33" subtotal="count" baseField="0" baseItem="0"/>
  </dataFields>
  <chartFormats count="28">
    <chartFormat chart="28"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7" series="1">
      <pivotArea type="data" outline="0" fieldPosition="0">
        <references count="2">
          <reference field="4294967294" count="1" selected="0">
            <x v="0"/>
          </reference>
          <reference field="23" count="1" selected="0">
            <x v="1"/>
          </reference>
        </references>
      </pivotArea>
    </chartFormat>
    <chartFormat chart="28" format="8" series="1">
      <pivotArea type="data" outline="0" fieldPosition="0">
        <references count="2">
          <reference field="4294967294" count="1" selected="0">
            <x v="0"/>
          </reference>
          <reference field="23" count="1" selected="0">
            <x v="3"/>
          </reference>
        </references>
      </pivotArea>
    </chartFormat>
    <chartFormat chart="28" format="9" series="1">
      <pivotArea type="data" outline="0" fieldPosition="0">
        <references count="2">
          <reference field="4294967294" count="1" selected="0">
            <x v="0"/>
          </reference>
          <reference field="23" count="1" selected="0">
            <x v="5"/>
          </reference>
        </references>
      </pivotArea>
    </chartFormat>
    <chartFormat chart="28" format="10" series="1">
      <pivotArea type="data" outline="0" fieldPosition="0">
        <references count="2">
          <reference field="4294967294" count="1" selected="0">
            <x v="0"/>
          </reference>
          <reference field="23" count="1" selected="0">
            <x v="6"/>
          </reference>
        </references>
      </pivotArea>
    </chartFormat>
    <chartFormat chart="28" format="11" series="1">
      <pivotArea type="data" outline="0" fieldPosition="0">
        <references count="2">
          <reference field="4294967294" count="1" selected="0">
            <x v="0"/>
          </reference>
          <reference field="23" count="1" selected="0">
            <x v="7"/>
          </reference>
        </references>
      </pivotArea>
    </chartFormat>
    <chartFormat chart="28" format="12" series="1">
      <pivotArea type="data" outline="0" fieldPosition="0">
        <references count="2">
          <reference field="4294967294" count="1" selected="0">
            <x v="0"/>
          </reference>
          <reference field="23" count="1" selected="0">
            <x v="8"/>
          </reference>
        </references>
      </pivotArea>
    </chartFormat>
    <chartFormat chart="28" format="13" series="1">
      <pivotArea type="data" outline="0" fieldPosition="0">
        <references count="2">
          <reference field="4294967294" count="1" selected="0">
            <x v="0"/>
          </reference>
          <reference field="23" count="1" selected="0">
            <x v="10"/>
          </reference>
        </references>
      </pivotArea>
    </chartFormat>
    <chartFormat chart="28" format="14" series="1">
      <pivotArea type="data" outline="0" fieldPosition="0">
        <references count="2">
          <reference field="4294967294" count="1" selected="0">
            <x v="0"/>
          </reference>
          <reference field="23" count="1" selected="0">
            <x v="11"/>
          </reference>
        </references>
      </pivotArea>
    </chartFormat>
    <chartFormat chart="28" format="15" series="1">
      <pivotArea type="data" outline="0" fieldPosition="0">
        <references count="2">
          <reference field="4294967294" count="1" selected="0">
            <x v="0"/>
          </reference>
          <reference field="23" count="1" selected="0">
            <x v="12"/>
          </reference>
        </references>
      </pivotArea>
    </chartFormat>
    <chartFormat chart="28" format="16" series="1">
      <pivotArea type="data" outline="0" fieldPosition="0">
        <references count="2">
          <reference field="4294967294" count="1" selected="0">
            <x v="0"/>
          </reference>
          <reference field="23" count="1" selected="0">
            <x v="13"/>
          </reference>
        </references>
      </pivotArea>
    </chartFormat>
    <chartFormat chart="28" format="17" series="1">
      <pivotArea type="data" outline="0" fieldPosition="0">
        <references count="2">
          <reference field="4294967294" count="1" selected="0">
            <x v="0"/>
          </reference>
          <reference field="23" count="1" selected="0">
            <x v="14"/>
          </reference>
        </references>
      </pivotArea>
    </chartFormat>
    <chartFormat chart="28" format="18" series="1">
      <pivotArea type="data" outline="0" fieldPosition="0">
        <references count="2">
          <reference field="4294967294" count="1" selected="0">
            <x v="0"/>
          </reference>
          <reference field="23" count="1" selected="0">
            <x v="15"/>
          </reference>
        </references>
      </pivotArea>
    </chartFormat>
    <chartFormat chart="22" format="8" series="1">
      <pivotArea type="data" outline="0" fieldPosition="0">
        <references count="2">
          <reference field="4294967294" count="1" selected="0">
            <x v="0"/>
          </reference>
          <reference field="23" count="1" selected="0">
            <x v="1"/>
          </reference>
        </references>
      </pivotArea>
    </chartFormat>
    <chartFormat chart="22" format="9" series="1">
      <pivotArea type="data" outline="0" fieldPosition="0">
        <references count="2">
          <reference field="4294967294" count="1" selected="0">
            <x v="0"/>
          </reference>
          <reference field="23" count="1" selected="0">
            <x v="3"/>
          </reference>
        </references>
      </pivotArea>
    </chartFormat>
    <chartFormat chart="22" format="10" series="1">
      <pivotArea type="data" outline="0" fieldPosition="0">
        <references count="2">
          <reference field="4294967294" count="1" selected="0">
            <x v="0"/>
          </reference>
          <reference field="23" count="1" selected="0">
            <x v="5"/>
          </reference>
        </references>
      </pivotArea>
    </chartFormat>
    <chartFormat chart="22" format="11" series="1">
      <pivotArea type="data" outline="0" fieldPosition="0">
        <references count="2">
          <reference field="4294967294" count="1" selected="0">
            <x v="0"/>
          </reference>
          <reference field="23" count="1" selected="0">
            <x v="6"/>
          </reference>
        </references>
      </pivotArea>
    </chartFormat>
    <chartFormat chart="22" format="12" series="1">
      <pivotArea type="data" outline="0" fieldPosition="0">
        <references count="2">
          <reference field="4294967294" count="1" selected="0">
            <x v="0"/>
          </reference>
          <reference field="23" count="1" selected="0">
            <x v="7"/>
          </reference>
        </references>
      </pivotArea>
    </chartFormat>
    <chartFormat chart="22" format="13" series="1">
      <pivotArea type="data" outline="0" fieldPosition="0">
        <references count="2">
          <reference field="4294967294" count="1" selected="0">
            <x v="0"/>
          </reference>
          <reference field="23" count="1" selected="0">
            <x v="8"/>
          </reference>
        </references>
      </pivotArea>
    </chartFormat>
    <chartFormat chart="22" format="14" series="1">
      <pivotArea type="data" outline="0" fieldPosition="0">
        <references count="2">
          <reference field="4294967294" count="1" selected="0">
            <x v="0"/>
          </reference>
          <reference field="23" count="1" selected="0">
            <x v="10"/>
          </reference>
        </references>
      </pivotArea>
    </chartFormat>
    <chartFormat chart="22" format="15" series="1">
      <pivotArea type="data" outline="0" fieldPosition="0">
        <references count="2">
          <reference field="4294967294" count="1" selected="0">
            <x v="0"/>
          </reference>
          <reference field="23" count="1" selected="0">
            <x v="11"/>
          </reference>
        </references>
      </pivotArea>
    </chartFormat>
    <chartFormat chart="22" format="16" series="1">
      <pivotArea type="data" outline="0" fieldPosition="0">
        <references count="2">
          <reference field="4294967294" count="1" selected="0">
            <x v="0"/>
          </reference>
          <reference field="23" count="1" selected="0">
            <x v="12"/>
          </reference>
        </references>
      </pivotArea>
    </chartFormat>
    <chartFormat chart="22" format="17" series="1">
      <pivotArea type="data" outline="0" fieldPosition="0">
        <references count="2">
          <reference field="4294967294" count="1" selected="0">
            <x v="0"/>
          </reference>
          <reference field="23" count="1" selected="0">
            <x v="13"/>
          </reference>
        </references>
      </pivotArea>
    </chartFormat>
    <chartFormat chart="22" format="18" series="1">
      <pivotArea type="data" outline="0" fieldPosition="0">
        <references count="2">
          <reference field="4294967294" count="1" selected="0">
            <x v="0"/>
          </reference>
          <reference field="23" count="1" selected="0">
            <x v="14"/>
          </reference>
        </references>
      </pivotArea>
    </chartFormat>
    <chartFormat chart="22" format="19" series="1">
      <pivotArea type="data" outline="0" fieldPosition="0">
        <references count="2">
          <reference field="4294967294" count="1" selected="0">
            <x v="0"/>
          </reference>
          <reference field="23" count="1" selected="0">
            <x v="15"/>
          </reference>
        </references>
      </pivotArea>
    </chartFormat>
    <chartFormat chart="28" format="19">
      <pivotArea type="data" outline="0" fieldPosition="0">
        <references count="3">
          <reference field="4294967294" count="1" selected="0">
            <x v="0"/>
          </reference>
          <reference field="23" count="1" selected="0">
            <x v="10"/>
          </reference>
          <reference field="33" count="1" selected="0">
            <x v="0"/>
          </reference>
        </references>
      </pivotArea>
    </chartFormat>
    <chartFormat chart="28" format="20">
      <pivotArea type="data" outline="0" fieldPosition="0">
        <references count="3">
          <reference field="4294967294" count="1" selected="0">
            <x v="0"/>
          </reference>
          <reference field="23" count="1" selected="0">
            <x v="10"/>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DC4692B-DE1D-40E7-A99A-F5D2865F23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E4" firstHeaderRow="0" firstDataRow="1" firstDataCol="0"/>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Livestock keeping" fld="35" baseField="0" baseItem="0"/>
    <dataField name="-Bee keeping" fld="39" baseField="0" baseItem="0"/>
    <dataField name="-Crop farming " fld="38" baseField="0" baseItem="0"/>
    <dataField name="-Grass planting " fld="36" baseField="0" baseItem="0"/>
    <dataField name="-Horticulture " fld="37" baseField="0" baseItem="0"/>
  </dataFields>
  <chartFormats count="5">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 chart="2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1BFBD19-6C13-40EF-B059-9819376980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6" firstHeaderRow="0"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17"/>
  </rowFields>
  <rowItems count="3">
    <i>
      <x/>
    </i>
    <i>
      <x v="1"/>
    </i>
    <i t="grand">
      <x/>
    </i>
  </rowItems>
  <colFields count="1">
    <field x="-2"/>
  </colFields>
  <colItems count="5">
    <i>
      <x/>
    </i>
    <i i="1">
      <x v="1"/>
    </i>
    <i i="2">
      <x v="2"/>
    </i>
    <i i="3">
      <x v="3"/>
    </i>
    <i i="4">
      <x v="4"/>
    </i>
  </colItems>
  <dataFields count="5">
    <dataField name=".Bee keeping " fld="39" baseField="0" baseItem="0"/>
    <dataField name=".Crop farming " fld="38" baseField="0" baseItem="0"/>
    <dataField name=".Livestock keeping " fld="35" baseField="0" baseItem="0"/>
    <dataField name=".Horticulture " fld="37" baseField="0" baseItem="0"/>
    <dataField name=".Grass planting " fld="36" baseField="0"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87FA78E-3279-47BC-B63D-AFCFB9BE656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4" firstHeaderRow="0" firstDataRow="1" firstDataCol="0"/>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KEFRI" fld="42" baseField="0" baseItem="0"/>
    <dataField name="-Others" fld="47" baseField="0" baseItem="0"/>
    <dataField name="-Self-raised" fld="46" baseField="0" baseItem="0"/>
    <dataField name="-NGO" fld="45" baseField="0" baseItem="0"/>
    <dataField name="-Local nursery" fld="44" baseField="0"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C4A7A31-809C-4535-BF94-811420595FB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6" firstHeaderRow="0"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17"/>
  </rowFields>
  <rowItems count="3">
    <i>
      <x/>
    </i>
    <i>
      <x v="1"/>
    </i>
    <i t="grand">
      <x/>
    </i>
  </rowItems>
  <colFields count="1">
    <field x="-2"/>
  </colFields>
  <colItems count="5">
    <i>
      <x/>
    </i>
    <i i="1">
      <x v="1"/>
    </i>
    <i i="2">
      <x v="2"/>
    </i>
    <i i="3">
      <x v="3"/>
    </i>
    <i i="4">
      <x v="4"/>
    </i>
  </colItems>
  <dataFields count="5">
    <dataField name=".KEFRI" fld="42" baseField="0" baseItem="0"/>
    <dataField name=".Local nursery" fld="44" baseField="0" baseItem="0"/>
    <dataField name=".NGO" fld="45" baseField="0" baseItem="0"/>
    <dataField name=".Others" fld="47" baseField="0" baseItem="0"/>
    <dataField name=".Self-raised" fld="46" baseField="0" baseItem="0"/>
  </dataField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3882C2A-19C2-4F18-A8A9-4F2541E8AED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7" firstHeaderRow="0"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24"/>
  </rowFields>
  <rowItems count="4">
    <i>
      <x/>
    </i>
    <i>
      <x v="1"/>
    </i>
    <i>
      <x v="2"/>
    </i>
    <i t="grand">
      <x/>
    </i>
  </rowItems>
  <colFields count="1">
    <field x="-2"/>
  </colFields>
  <colItems count="5">
    <i>
      <x/>
    </i>
    <i i="1">
      <x v="1"/>
    </i>
    <i i="2">
      <x v="2"/>
    </i>
    <i i="3">
      <x v="3"/>
    </i>
    <i i="4">
      <x v="4"/>
    </i>
  </colItems>
  <dataFields count="5">
    <dataField name="~KEFRI" fld="42" baseField="0" baseItem="0"/>
    <dataField name="~Self-raised" fld="46" baseField="0" baseItem="0"/>
    <dataField name="~NGO" fld="45" baseField="0" baseItem="0"/>
    <dataField name="~Local nursery" fld="44" baseField="0" baseItem="0"/>
    <dataField name="Sum of Other3" fld="47" baseField="0" baseItem="0"/>
  </dataFields>
  <chartFormats count="5">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2"/>
          </reference>
        </references>
      </pivotArea>
    </chartFormat>
    <chartFormat chart="1" format="4" series="1">
      <pivotArea type="data" outline="0" fieldPosition="0">
        <references count="1">
          <reference field="4294967294" count="1" selected="0">
            <x v="3"/>
          </reference>
        </references>
      </pivotArea>
    </chartFormat>
    <chartFormat chart="1" format="6"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4BDAB3D-EE4C-4F17-B370-5A32361DDDA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5" firstHeaderRow="0"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7">
        <item h="1" x="2"/>
        <item h="1" x="7"/>
        <item h="1" m="1" x="15"/>
        <item h="1" x="3"/>
        <item h="1" m="1" x="14"/>
        <item h="1" x="9"/>
        <item h="1" x="6"/>
        <item h="1" x="8"/>
        <item h="1" x="12"/>
        <item h="1" x="5"/>
        <item x="1"/>
        <item h="1" x="4"/>
        <item h="1" x="10"/>
        <item h="1" x="13"/>
        <item h="1" x="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23"/>
  </rowFields>
  <rowItems count="2">
    <i>
      <x v="10"/>
    </i>
    <i t="grand">
      <x/>
    </i>
  </rowItems>
  <colFields count="1">
    <field x="-2"/>
  </colFields>
  <colItems count="4">
    <i>
      <x/>
    </i>
    <i i="1">
      <x v="1"/>
    </i>
    <i i="2">
      <x v="2"/>
    </i>
    <i i="3">
      <x v="3"/>
    </i>
  </colItems>
  <dataFields count="4">
    <dataField name="_KEFRI" fld="42" baseField="0" baseItem="0"/>
    <dataField name="_NGO" fld="45" baseField="0" baseItem="0"/>
    <dataField name="_Local nursery" fld="44" baseField="0" baseItem="0"/>
    <dataField name="_Self-raised" fld="46" baseField="0" baseItem="0"/>
  </dataFields>
  <chartFormats count="4">
    <chartFormat chart="1"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2"/>
          </reference>
        </references>
      </pivotArea>
    </chartFormat>
    <chartFormat chart="1" format="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D45BE3F-0072-40D5-9C5F-DC4D74BF6F6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3" firstHeaderRow="1" firstDataRow="1" firstDataCol="1"/>
  <pivotFields count="2">
    <pivotField axis="axisRow" showAll="0" sortType="descending">
      <items count="30">
        <item x="23"/>
        <item x="12"/>
        <item x="21"/>
        <item x="22"/>
        <item x="19"/>
        <item x="11"/>
        <item x="28"/>
        <item x="13"/>
        <item x="17"/>
        <item x="27"/>
        <item x="26"/>
        <item x="24"/>
        <item x="10"/>
        <item x="8"/>
        <item x="16"/>
        <item x="18"/>
        <item x="9"/>
        <item x="0"/>
        <item x="15"/>
        <item x="2"/>
        <item x="7"/>
        <item x="1"/>
        <item x="20"/>
        <item x="5"/>
        <item x="14"/>
        <item x="3"/>
        <item x="4"/>
        <item x="6"/>
        <item x="25"/>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30">
    <i>
      <x v="17"/>
    </i>
    <i>
      <x v="21"/>
    </i>
    <i>
      <x v="19"/>
    </i>
    <i>
      <x v="25"/>
    </i>
    <i>
      <x v="26"/>
    </i>
    <i>
      <x v="23"/>
    </i>
    <i>
      <x v="27"/>
    </i>
    <i>
      <x v="20"/>
    </i>
    <i>
      <x v="13"/>
    </i>
    <i>
      <x v="16"/>
    </i>
    <i>
      <x v="12"/>
    </i>
    <i>
      <x v="5"/>
    </i>
    <i>
      <x v="1"/>
    </i>
    <i>
      <x v="7"/>
    </i>
    <i>
      <x v="24"/>
    </i>
    <i>
      <x v="18"/>
    </i>
    <i>
      <x v="14"/>
    </i>
    <i>
      <x v="8"/>
    </i>
    <i>
      <x v="15"/>
    </i>
    <i>
      <x v="4"/>
    </i>
    <i>
      <x v="22"/>
    </i>
    <i>
      <x v="28"/>
    </i>
    <i>
      <x v="10"/>
    </i>
    <i>
      <x/>
    </i>
    <i>
      <x v="3"/>
    </i>
    <i>
      <x v="6"/>
    </i>
    <i>
      <x v="9"/>
    </i>
    <i>
      <x v="11"/>
    </i>
    <i>
      <x v="2"/>
    </i>
    <i t="grand">
      <x/>
    </i>
  </rowItems>
  <colItems count="1">
    <i/>
  </colItems>
  <dataFields count="1">
    <dataField name="Sum of Selection"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F2F7A4E-4CC2-4C3B-BB0C-A75A3F88A083}"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sd="0" x="0"/>
        <item t="default"/>
      </items>
    </pivotField>
    <pivotField dataField="1" showAll="0">
      <items count="3">
        <item x="1"/>
        <item x="0"/>
        <item t="default"/>
      </items>
    </pivotField>
    <pivotField dataField="1" showAll="0">
      <items count="3">
        <item x="0"/>
        <item x="1"/>
        <item t="default"/>
      </items>
    </pivotField>
    <pivotField dataField="1" showAll="0">
      <items count="3">
        <item h="1" x="1"/>
        <item x="0"/>
        <item t="default"/>
      </items>
    </pivotField>
    <pivotField dataField="1" showAll="0">
      <items count="3">
        <item x="0"/>
        <item x="1"/>
        <item t="default"/>
      </items>
    </pivotField>
    <pivotField dataField="1" showAll="0">
      <items count="3">
        <item x="1"/>
        <item x="0"/>
        <item t="default"/>
      </items>
    </pivotField>
    <pivotField dataField="1" showAll="0">
      <items count="3">
        <item x="0"/>
        <item x="1"/>
        <item t="default"/>
      </items>
    </pivotField>
    <pivotField dataField="1" showAll="0">
      <items count="3">
        <item x="1"/>
        <item sd="0"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2"/>
  </rowFields>
  <rowItems count="8">
    <i>
      <x/>
    </i>
    <i i="1">
      <x v="1"/>
    </i>
    <i i="2">
      <x v="2"/>
    </i>
    <i i="3">
      <x v="3"/>
    </i>
    <i i="4">
      <x v="4"/>
    </i>
    <i i="5">
      <x v="5"/>
    </i>
    <i i="6">
      <x v="6"/>
    </i>
    <i i="7">
      <x v="7"/>
    </i>
  </rowItems>
  <colItems count="1">
    <i/>
  </colItems>
  <dataFields count="8">
    <dataField name="Sum of Shade" fld="50" baseField="0" baseItem="0"/>
    <dataField name="Sum of Timber" fld="51" baseField="0" baseItem="0"/>
    <dataField name="Sum of Fruits" fld="53" baseField="0" baseItem="0"/>
    <dataField name="Sum of Environmental reasons (erosion control, windbreak, etc)" fld="57" baseField="0" baseItem="0"/>
    <dataField name="Sum of Fuelwood" fld="54" baseField="0" baseItem="0"/>
    <dataField name="Sum of Income generation" fld="56" baseField="0" baseItem="0"/>
    <dataField name="Sum of Fodder" fld="52" baseField="0" baseItem="0"/>
    <dataField name="Sum of Boundary marking" fld="55" baseField="0" baseItem="0"/>
  </dataFields>
  <chartFormats count="8">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6"/>
          </reference>
        </references>
      </pivotArea>
    </chartFormat>
    <chartFormat chart="3" format="11" series="1">
      <pivotArea type="data" outline="0" fieldPosition="0">
        <references count="1">
          <reference field="4294967294" count="1" selected="0">
            <x v="2"/>
          </reference>
        </references>
      </pivotArea>
    </chartFormat>
    <chartFormat chart="3" format="12" series="1">
      <pivotArea type="data" outline="0" fieldPosition="0">
        <references count="1">
          <reference field="4294967294" count="1" selected="0">
            <x v="4"/>
          </reference>
        </references>
      </pivotArea>
    </chartFormat>
    <chartFormat chart="3" format="13" series="1">
      <pivotArea type="data" outline="0" fieldPosition="0">
        <references count="1">
          <reference field="4294967294" count="1" selected="0">
            <x v="7"/>
          </reference>
        </references>
      </pivotArea>
    </chartFormat>
    <chartFormat chart="3" format="14" series="1">
      <pivotArea type="data" outline="0" fieldPosition="0">
        <references count="1">
          <reference field="4294967294" count="1" selected="0">
            <x v="5"/>
          </reference>
        </references>
      </pivotArea>
    </chartFormat>
    <chartFormat chart="3" format="1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944791A-DB86-47C7-A593-C3771C80B4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1" firstHeaderRow="0"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 showAll="0">
      <items count="69">
        <item x="12"/>
        <item x="40"/>
        <item x="62"/>
        <item x="21"/>
        <item x="34"/>
        <item x="60"/>
        <item x="25"/>
        <item x="33"/>
        <item x="23"/>
        <item x="43"/>
        <item x="59"/>
        <item x="5"/>
        <item x="24"/>
        <item x="54"/>
        <item x="2"/>
        <item x="20"/>
        <item x="4"/>
        <item x="6"/>
        <item x="8"/>
        <item x="13"/>
        <item x="66"/>
        <item x="65"/>
        <item x="11"/>
        <item x="10"/>
        <item x="9"/>
        <item x="49"/>
        <item x="51"/>
        <item x="22"/>
        <item x="58"/>
        <item x="45"/>
        <item x="53"/>
        <item x="44"/>
        <item x="63"/>
        <item x="55"/>
        <item x="61"/>
        <item x="67"/>
        <item x="29"/>
        <item x="31"/>
        <item x="38"/>
        <item x="42"/>
        <item x="35"/>
        <item x="41"/>
        <item x="36"/>
        <item x="52"/>
        <item x="17"/>
        <item x="27"/>
        <item x="26"/>
        <item x="18"/>
        <item x="28"/>
        <item x="47"/>
        <item x="3"/>
        <item x="57"/>
        <item x="39"/>
        <item x="48"/>
        <item x="16"/>
        <item x="1"/>
        <item x="64"/>
        <item x="7"/>
        <item x="56"/>
        <item x="0"/>
        <item x="32"/>
        <item x="50"/>
        <item x="37"/>
        <item x="46"/>
        <item x="14"/>
        <item x="15"/>
        <item x="30"/>
        <item x="19"/>
        <item t="default"/>
      </items>
    </pivotField>
    <pivotField showAll="0">
      <items count="13">
        <item x="0"/>
        <item x="7"/>
        <item x="6"/>
        <item x="3"/>
        <item x="1"/>
        <item x="9"/>
        <item x="2"/>
        <item x="5"/>
        <item x="10"/>
        <item x="4"/>
        <item x="11"/>
        <item x="8"/>
        <item t="default"/>
      </items>
    </pivotField>
    <pivotField showAll="0">
      <items count="70">
        <item x="63"/>
        <item x="50"/>
        <item x="31"/>
        <item x="61"/>
        <item x="44"/>
        <item x="60"/>
        <item x="66"/>
        <item x="53"/>
        <item x="24"/>
        <item x="43"/>
        <item x="58"/>
        <item x="54"/>
        <item x="62"/>
        <item x="68"/>
        <item x="38"/>
        <item x="0"/>
        <item x="18"/>
        <item x="19"/>
        <item x="21"/>
        <item x="20"/>
        <item x="10"/>
        <item x="11"/>
        <item x="3"/>
        <item x="15"/>
        <item x="14"/>
        <item x="32"/>
        <item x="13"/>
        <item x="52"/>
        <item x="1"/>
        <item x="9"/>
        <item x="6"/>
        <item x="30"/>
        <item x="45"/>
        <item x="64"/>
        <item x="51"/>
        <item x="65"/>
        <item x="46"/>
        <item x="29"/>
        <item x="17"/>
        <item x="25"/>
        <item x="37"/>
        <item x="27"/>
        <item x="16"/>
        <item x="26"/>
        <item x="5"/>
        <item x="4"/>
        <item x="39"/>
        <item x="55"/>
        <item x="47"/>
        <item x="48"/>
        <item x="49"/>
        <item x="34"/>
        <item x="56"/>
        <item x="35"/>
        <item x="41"/>
        <item x="59"/>
        <item x="12"/>
        <item x="57"/>
        <item x="42"/>
        <item x="67"/>
        <item x="8"/>
        <item x="28"/>
        <item x="36"/>
        <item x="7"/>
        <item x="40"/>
        <item x="2"/>
        <item x="33"/>
        <item x="23"/>
        <item x="22"/>
        <item t="default"/>
      </items>
    </pivotField>
    <pivotField showAll="0">
      <items count="16">
        <item x="12"/>
        <item sd="0" x="10"/>
        <item x="6"/>
        <item x="5"/>
        <item x="11"/>
        <item x="14"/>
        <item x="9"/>
        <item x="3"/>
        <item x="7"/>
        <item x="4"/>
        <item x="0"/>
        <item x="1"/>
        <item x="2"/>
        <item x="13"/>
        <item x="8"/>
        <item t="default"/>
      </items>
    </pivotField>
    <pivotField showAll="0">
      <items count="70">
        <item x="25"/>
        <item x="36"/>
        <item x="28"/>
        <item x="27"/>
        <item x="26"/>
        <item x="40"/>
        <item x="58"/>
        <item x="61"/>
        <item x="3"/>
        <item x="56"/>
        <item x="67"/>
        <item x="63"/>
        <item x="51"/>
        <item x="23"/>
        <item x="19"/>
        <item x="54"/>
        <item x="17"/>
        <item x="8"/>
        <item x="9"/>
        <item x="13"/>
        <item x="15"/>
        <item x="7"/>
        <item x="32"/>
        <item x="65"/>
        <item x="68"/>
        <item x="29"/>
        <item x="2"/>
        <item x="31"/>
        <item x="21"/>
        <item x="41"/>
        <item x="38"/>
        <item x="66"/>
        <item x="18"/>
        <item x="37"/>
        <item x="57"/>
        <item x="50"/>
        <item x="52"/>
        <item x="42"/>
        <item x="49"/>
        <item x="34"/>
        <item x="22"/>
        <item x="55"/>
        <item x="5"/>
        <item x="1"/>
        <item x="39"/>
        <item x="64"/>
        <item x="20"/>
        <item x="10"/>
        <item x="12"/>
        <item x="43"/>
        <item x="44"/>
        <item x="46"/>
        <item x="33"/>
        <item x="53"/>
        <item x="11"/>
        <item x="60"/>
        <item x="48"/>
        <item x="59"/>
        <item x="0"/>
        <item x="14"/>
        <item x="45"/>
        <item x="47"/>
        <item x="62"/>
        <item x="35"/>
        <item x="16"/>
        <item x="6"/>
        <item x="30"/>
        <item x="4"/>
        <item x="24"/>
        <item t="default"/>
      </items>
    </pivotField>
    <pivotField showAll="0">
      <items count="17">
        <item x="3"/>
        <item x="7"/>
        <item x="10"/>
        <item x="4"/>
        <item x="15"/>
        <item x="13"/>
        <item x="0"/>
        <item x="2"/>
        <item x="5"/>
        <item x="11"/>
        <item x="1"/>
        <item x="14"/>
        <item x="9"/>
        <item x="6"/>
        <item x="12"/>
        <item x="8"/>
        <item t="default"/>
      </items>
    </pivotField>
    <pivotField showAll="0">
      <items count="68">
        <item x="12"/>
        <item x="24"/>
        <item x="27"/>
        <item x="26"/>
        <item x="20"/>
        <item x="54"/>
        <item x="19"/>
        <item x="56"/>
        <item x="59"/>
        <item x="5"/>
        <item x="39"/>
        <item x="30"/>
        <item x="17"/>
        <item x="66"/>
        <item x="40"/>
        <item x="21"/>
        <item x="48"/>
        <item x="9"/>
        <item x="25"/>
        <item x="10"/>
        <item x="3"/>
        <item x="65"/>
        <item x="43"/>
        <item x="55"/>
        <item x="42"/>
        <item x="15"/>
        <item x="47"/>
        <item x="64"/>
        <item x="57"/>
        <item x="53"/>
        <item x="51"/>
        <item x="60"/>
        <item x="38"/>
        <item x="62"/>
        <item x="61"/>
        <item x="14"/>
        <item x="58"/>
        <item x="11"/>
        <item x="7"/>
        <item x="6"/>
        <item x="2"/>
        <item x="4"/>
        <item x="52"/>
        <item x="63"/>
        <item x="35"/>
        <item x="34"/>
        <item x="29"/>
        <item x="32"/>
        <item x="22"/>
        <item x="45"/>
        <item x="28"/>
        <item x="37"/>
        <item x="44"/>
        <item x="49"/>
        <item x="1"/>
        <item x="16"/>
        <item x="36"/>
        <item x="41"/>
        <item x="33"/>
        <item x="50"/>
        <item x="46"/>
        <item x="0"/>
        <item x="18"/>
        <item x="13"/>
        <item x="8"/>
        <item x="31"/>
        <item x="23"/>
        <item t="default"/>
      </items>
    </pivotField>
    <pivotField axis="axisRow" dataField="1" showAll="0" sortType="descending">
      <items count="19">
        <item x="8"/>
        <item x="14"/>
        <item x="1"/>
        <item x="4"/>
        <item x="12"/>
        <item x="9"/>
        <item x="16"/>
        <item x="3"/>
        <item x="11"/>
        <item x="10"/>
        <item x="5"/>
        <item x="0"/>
        <item x="17"/>
        <item x="15"/>
        <item x="7"/>
        <item x="2"/>
        <item x="13"/>
        <item x="6"/>
        <item t="default"/>
      </items>
      <autoSortScope>
        <pivotArea dataOnly="0" outline="0" fieldPosition="0">
          <references count="1">
            <reference field="4294967294" count="1" selected="0">
              <x v="1"/>
            </reference>
          </references>
        </pivotArea>
      </autoSortScope>
    </pivotField>
    <pivotField axis="axisRow" dataField="1" showAll="0">
      <items count="70">
        <item x="15"/>
        <item x="60"/>
        <item x="24"/>
        <item x="21"/>
        <item x="54"/>
        <item x="1"/>
        <item x="22"/>
        <item x="67"/>
        <item x="8"/>
        <item x="28"/>
        <item x="56"/>
        <item x="18"/>
        <item x="47"/>
        <item x="20"/>
        <item x="10"/>
        <item x="43"/>
        <item x="19"/>
        <item x="4"/>
        <item x="32"/>
        <item x="11"/>
        <item x="13"/>
        <item x="41"/>
        <item x="48"/>
        <item x="31"/>
        <item x="65"/>
        <item x="17"/>
        <item x="30"/>
        <item x="68"/>
        <item x="3"/>
        <item x="37"/>
        <item x="27"/>
        <item x="66"/>
        <item x="45"/>
        <item x="25"/>
        <item x="64"/>
        <item x="33"/>
        <item x="58"/>
        <item x="59"/>
        <item x="23"/>
        <item x="57"/>
        <item x="50"/>
        <item x="53"/>
        <item x="42"/>
        <item x="40"/>
        <item x="38"/>
        <item x="49"/>
        <item x="55"/>
        <item x="62"/>
        <item x="61"/>
        <item x="16"/>
        <item x="39"/>
        <item x="5"/>
        <item x="63"/>
        <item x="46"/>
        <item x="51"/>
        <item x="14"/>
        <item x="7"/>
        <item x="0"/>
        <item x="2"/>
        <item x="34"/>
        <item x="52"/>
        <item x="26"/>
        <item x="9"/>
        <item x="44"/>
        <item x="12"/>
        <item x="6"/>
        <item x="36"/>
        <item x="35"/>
        <item x="2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2">
    <field x="100"/>
    <field x="101"/>
  </rowFields>
  <rowItems count="88">
    <i>
      <x v="15"/>
    </i>
    <i r="1">
      <x v="13"/>
    </i>
    <i r="1">
      <x v="14"/>
    </i>
    <i r="1">
      <x v="16"/>
    </i>
    <i r="1">
      <x v="23"/>
    </i>
    <i r="1">
      <x v="25"/>
    </i>
    <i r="1">
      <x v="26"/>
    </i>
    <i r="1">
      <x v="29"/>
    </i>
    <i r="1">
      <x v="30"/>
    </i>
    <i r="1">
      <x v="58"/>
    </i>
    <i r="1">
      <x v="61"/>
    </i>
    <i>
      <x v="14"/>
    </i>
    <i r="1">
      <x/>
    </i>
    <i r="1">
      <x v="6"/>
    </i>
    <i r="1">
      <x v="7"/>
    </i>
    <i r="1">
      <x v="8"/>
    </i>
    <i r="1">
      <x v="9"/>
    </i>
    <i r="1">
      <x v="12"/>
    </i>
    <i r="1">
      <x v="19"/>
    </i>
    <i r="1">
      <x v="35"/>
    </i>
    <i r="1">
      <x v="38"/>
    </i>
    <i r="1">
      <x v="64"/>
    </i>
    <i>
      <x v="17"/>
    </i>
    <i r="1">
      <x v="1"/>
    </i>
    <i r="1">
      <x v="36"/>
    </i>
    <i r="1">
      <x v="39"/>
    </i>
    <i r="1">
      <x v="52"/>
    </i>
    <i r="1">
      <x v="54"/>
    </i>
    <i r="1">
      <x v="56"/>
    </i>
    <i r="1">
      <x v="63"/>
    </i>
    <i>
      <x v="8"/>
    </i>
    <i r="1">
      <x v="15"/>
    </i>
    <i r="1">
      <x v="22"/>
    </i>
    <i r="1">
      <x v="43"/>
    </i>
    <i r="1">
      <x v="44"/>
    </i>
    <i r="1">
      <x v="48"/>
    </i>
    <i r="1">
      <x v="66"/>
    </i>
    <i>
      <x v="13"/>
    </i>
    <i r="1">
      <x v="4"/>
    </i>
    <i r="1">
      <x v="24"/>
    </i>
    <i r="1">
      <x v="27"/>
    </i>
    <i r="1">
      <x v="45"/>
    </i>
    <i r="1">
      <x v="46"/>
    </i>
    <i>
      <x v="11"/>
    </i>
    <i r="1">
      <x v="37"/>
    </i>
    <i r="1">
      <x v="55"/>
    </i>
    <i r="1">
      <x v="57"/>
    </i>
    <i r="1">
      <x v="65"/>
    </i>
    <i>
      <x v="1"/>
    </i>
    <i r="1">
      <x v="10"/>
    </i>
    <i r="1">
      <x v="31"/>
    </i>
    <i r="1">
      <x v="32"/>
    </i>
    <i r="1">
      <x v="34"/>
    </i>
    <i>
      <x v="7"/>
    </i>
    <i r="1">
      <x v="28"/>
    </i>
    <i r="1">
      <x v="41"/>
    </i>
    <i r="1">
      <x v="42"/>
    </i>
    <i r="1">
      <x v="53"/>
    </i>
    <i>
      <x v="10"/>
    </i>
    <i r="1">
      <x v="3"/>
    </i>
    <i r="1">
      <x v="51"/>
    </i>
    <i r="1">
      <x v="60"/>
    </i>
    <i r="1">
      <x v="62"/>
    </i>
    <i>
      <x v="3"/>
    </i>
    <i r="1">
      <x v="17"/>
    </i>
    <i r="1">
      <x v="20"/>
    </i>
    <i r="1">
      <x v="49"/>
    </i>
    <i>
      <x v="5"/>
    </i>
    <i r="1">
      <x v="18"/>
    </i>
    <i r="1">
      <x v="67"/>
    </i>
    <i r="1">
      <x v="68"/>
    </i>
    <i>
      <x v="2"/>
    </i>
    <i r="1">
      <x v="2"/>
    </i>
    <i r="1">
      <x v="5"/>
    </i>
    <i>
      <x/>
    </i>
    <i r="1">
      <x v="11"/>
    </i>
    <i r="1">
      <x v="33"/>
    </i>
    <i>
      <x v="16"/>
    </i>
    <i r="1">
      <x v="21"/>
    </i>
    <i>
      <x v="9"/>
    </i>
    <i r="1">
      <x v="59"/>
    </i>
    <i>
      <x v="4"/>
    </i>
    <i r="1">
      <x v="50"/>
    </i>
    <i>
      <x v="6"/>
    </i>
    <i r="1">
      <x v="40"/>
    </i>
    <i>
      <x v="12"/>
    </i>
    <i r="1">
      <x v="47"/>
    </i>
    <i t="grand">
      <x/>
    </i>
  </rowItems>
  <colFields count="1">
    <field x="-2"/>
  </colFields>
  <colItems count="2">
    <i>
      <x/>
    </i>
    <i i="1">
      <x v="1"/>
    </i>
  </colItems>
  <dataFields count="2">
    <dataField name="Count of 5th Choice tree species" fld="100" subtotal="count" baseField="0" baseItem="0"/>
    <dataField name="Count of Reasons5" fld="10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63FCEA7-BE2E-4963-8316-BC092121A4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5" firstHeaderRow="0" firstDataRow="1" firstDataCol="1"/>
  <pivotFields count="128">
    <pivotField numFmtId="164"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47">
        <item x="11"/>
        <item x="20"/>
        <item x="28"/>
        <item x="42"/>
        <item x="44"/>
        <item x="25"/>
        <item x="31"/>
        <item x="21"/>
        <item x="5"/>
        <item x="36"/>
        <item x="30"/>
        <item x="32"/>
        <item x="41"/>
        <item x="7"/>
        <item x="15"/>
        <item x="26"/>
        <item x="24"/>
        <item x="43"/>
        <item x="35"/>
        <item x="33"/>
        <item x="22"/>
        <item x="27"/>
        <item x="8"/>
        <item x="16"/>
        <item x="34"/>
        <item x="10"/>
        <item x="17"/>
        <item x="13"/>
        <item x="18"/>
        <item x="23"/>
        <item x="9"/>
        <item x="14"/>
        <item x="40"/>
        <item x="6"/>
        <item x="37"/>
        <item x="38"/>
        <item x="19"/>
        <item x="0"/>
        <item x="2"/>
        <item x="29"/>
        <item x="39"/>
        <item x="12"/>
        <item x="4"/>
        <item x="45"/>
        <item x="3"/>
        <item x="1"/>
        <item t="default"/>
      </items>
      <autoSortScope>
        <pivotArea dataOnly="0" outline="0" fieldPosition="0">
          <references count="1">
            <reference field="4294967294" count="1" selected="0">
              <x v="0"/>
            </reference>
          </references>
        </pivotArea>
      </autoSortScope>
    </pivotField>
    <pivotField axis="axisRow" dataField="1" showAll="0">
      <items count="59">
        <item x="5"/>
        <item x="7"/>
        <item x="19"/>
        <item x="9"/>
        <item x="39"/>
        <item x="43"/>
        <item x="46"/>
        <item x="14"/>
        <item x="13"/>
        <item x="42"/>
        <item x="35"/>
        <item x="21"/>
        <item x="56"/>
        <item x="22"/>
        <item x="25"/>
        <item x="27"/>
        <item x="44"/>
        <item x="48"/>
        <item x="52"/>
        <item x="38"/>
        <item x="51"/>
        <item x="47"/>
        <item x="34"/>
        <item x="15"/>
        <item x="29"/>
        <item x="45"/>
        <item x="40"/>
        <item x="20"/>
        <item x="37"/>
        <item x="54"/>
        <item x="17"/>
        <item x="55"/>
        <item x="23"/>
        <item x="31"/>
        <item x="18"/>
        <item x="28"/>
        <item x="41"/>
        <item x="8"/>
        <item x="3"/>
        <item x="6"/>
        <item x="11"/>
        <item x="57"/>
        <item x="33"/>
        <item x="30"/>
        <item x="53"/>
        <item x="50"/>
        <item x="2"/>
        <item x="32"/>
        <item x="16"/>
        <item x="36"/>
        <item x="49"/>
        <item x="24"/>
        <item x="10"/>
        <item x="4"/>
        <item x="26"/>
        <item x="1"/>
        <item x="1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2">
    <field x="102"/>
    <field x="103"/>
  </rowFields>
  <rowItems count="112">
    <i>
      <x v="16"/>
    </i>
    <i r="1">
      <x v="5"/>
    </i>
    <i r="1">
      <x v="12"/>
    </i>
    <i r="1">
      <x v="15"/>
    </i>
    <i r="1">
      <x v="16"/>
    </i>
    <i r="1">
      <x v="17"/>
    </i>
    <i r="1">
      <x v="18"/>
    </i>
    <i r="1">
      <x v="19"/>
    </i>
    <i r="1">
      <x v="20"/>
    </i>
    <i r="1">
      <x v="21"/>
    </i>
    <i r="1">
      <x v="24"/>
    </i>
    <i r="1">
      <x v="25"/>
    </i>
    <i r="1">
      <x v="28"/>
    </i>
    <i r="1">
      <x v="44"/>
    </i>
    <i r="1">
      <x v="51"/>
    </i>
    <i>
      <x v="4"/>
    </i>
    <i r="1">
      <x v="24"/>
    </i>
    <i r="1">
      <x v="29"/>
    </i>
    <i r="1">
      <x v="31"/>
    </i>
    <i r="1">
      <x v="44"/>
    </i>
    <i>
      <x v="10"/>
    </i>
    <i r="1">
      <x v="33"/>
    </i>
    <i r="1">
      <x v="49"/>
    </i>
    <i r="1">
      <x v="50"/>
    </i>
    <i>
      <x v="24"/>
    </i>
    <i r="1">
      <x v="10"/>
    </i>
    <i r="1">
      <x v="36"/>
    </i>
    <i>
      <x v="28"/>
    </i>
    <i r="1">
      <x v="34"/>
    </i>
    <i>
      <x v="37"/>
    </i>
    <i r="1">
      <x v="57"/>
    </i>
    <i>
      <x v="2"/>
    </i>
    <i r="1">
      <x v="24"/>
    </i>
    <i>
      <x v="32"/>
    </i>
    <i r="1">
      <x v="24"/>
    </i>
    <i>
      <x v="5"/>
    </i>
    <i r="1">
      <x v="14"/>
    </i>
    <i>
      <x v="41"/>
    </i>
    <i r="1">
      <x v="56"/>
    </i>
    <i>
      <x v="6"/>
    </i>
    <i r="1">
      <x v="47"/>
    </i>
    <i>
      <x v="26"/>
    </i>
    <i r="1">
      <x v="30"/>
    </i>
    <i>
      <x v="7"/>
    </i>
    <i r="1">
      <x v="11"/>
    </i>
    <i>
      <x v="30"/>
    </i>
    <i r="1">
      <x v="3"/>
    </i>
    <i>
      <x v="8"/>
    </i>
    <i r="1">
      <x/>
    </i>
    <i>
      <x v="1"/>
    </i>
    <i r="1">
      <x v="27"/>
    </i>
    <i>
      <x v="9"/>
    </i>
    <i r="1">
      <x v="24"/>
    </i>
    <i>
      <x v="39"/>
    </i>
    <i r="1">
      <x v="43"/>
    </i>
    <i>
      <x v="43"/>
    </i>
    <i r="1">
      <x v="41"/>
    </i>
    <i>
      <x v="3"/>
    </i>
    <i r="1">
      <x v="45"/>
    </i>
    <i>
      <x v="45"/>
    </i>
    <i r="1">
      <x v="55"/>
    </i>
    <i>
      <x v="23"/>
    </i>
    <i r="1">
      <x v="48"/>
    </i>
    <i>
      <x v="11"/>
    </i>
    <i r="1">
      <x v="42"/>
    </i>
    <i>
      <x v="25"/>
    </i>
    <i r="1">
      <x v="52"/>
    </i>
    <i>
      <x v="12"/>
    </i>
    <i r="1">
      <x v="6"/>
    </i>
    <i>
      <x v="27"/>
    </i>
    <i r="1">
      <x v="8"/>
    </i>
    <i>
      <x v="13"/>
    </i>
    <i r="1">
      <x v="1"/>
    </i>
    <i>
      <x v="29"/>
    </i>
    <i r="1">
      <x v="32"/>
    </i>
    <i>
      <x v="14"/>
    </i>
    <i r="1">
      <x v="23"/>
    </i>
    <i>
      <x v="31"/>
    </i>
    <i r="1">
      <x v="7"/>
    </i>
    <i>
      <x v="15"/>
    </i>
    <i r="1">
      <x v="54"/>
    </i>
    <i>
      <x v="33"/>
    </i>
    <i r="1">
      <x v="39"/>
    </i>
    <i>
      <x v="34"/>
    </i>
    <i r="1">
      <x v="4"/>
    </i>
    <i>
      <x v="35"/>
    </i>
    <i r="1">
      <x v="26"/>
    </i>
    <i>
      <x v="36"/>
    </i>
    <i r="1">
      <x v="2"/>
    </i>
    <i>
      <x v="17"/>
    </i>
    <i r="1">
      <x v="44"/>
    </i>
    <i>
      <x v="38"/>
    </i>
    <i r="1">
      <x v="46"/>
    </i>
    <i>
      <x v="18"/>
    </i>
    <i r="1">
      <x v="49"/>
    </i>
    <i>
      <x v="40"/>
    </i>
    <i r="1">
      <x v="9"/>
    </i>
    <i>
      <x v="19"/>
    </i>
    <i r="1">
      <x v="22"/>
    </i>
    <i>
      <x v="42"/>
    </i>
    <i r="1">
      <x v="53"/>
    </i>
    <i>
      <x v="20"/>
    </i>
    <i r="1">
      <x v="13"/>
    </i>
    <i>
      <x v="44"/>
    </i>
    <i r="1">
      <x v="38"/>
    </i>
    <i>
      <x v="21"/>
    </i>
    <i r="1">
      <x v="35"/>
    </i>
    <i>
      <x/>
    </i>
    <i r="1">
      <x v="40"/>
    </i>
    <i>
      <x v="22"/>
    </i>
    <i r="1">
      <x v="37"/>
    </i>
    <i t="grand">
      <x/>
    </i>
  </rowItems>
  <colFields count="1">
    <field x="-2"/>
  </colFields>
  <colItems count="2">
    <i>
      <x/>
    </i>
    <i i="1">
      <x v="1"/>
    </i>
  </colItems>
  <dataFields count="2">
    <dataField name="Count of Give five (5) least preferred tree species and reasons for each." fld="102" subtotal="count" baseField="0" baseItem="0"/>
    <dataField name="Count of Reasons6" fld="10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546E158-9F91-4FFF-84BD-4229E09FD2D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8"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Frequency" fld="1" baseField="0" baseItem="0"/>
  </dataFields>
  <chartFormats count="5">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0" count="1" selected="0">
            <x v="3"/>
          </reference>
        </references>
      </pivotArea>
    </chartFormat>
    <chartFormat chart="10" format="2">
      <pivotArea type="data" outline="0" fieldPosition="0">
        <references count="2">
          <reference field="4294967294" count="1" selected="0">
            <x v="0"/>
          </reference>
          <reference field="0" count="1" selected="0">
            <x v="0"/>
          </reference>
        </references>
      </pivotArea>
    </chartFormat>
    <chartFormat chart="10" format="3">
      <pivotArea type="data" outline="0" fieldPosition="0">
        <references count="2">
          <reference field="4294967294" count="1" selected="0">
            <x v="0"/>
          </reference>
          <reference field="0" count="1" selected="0">
            <x v="1"/>
          </reference>
        </references>
      </pivotArea>
    </chartFormat>
    <chartFormat chart="10" format="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A2CE98-F994-4A68-A0C5-6950364A662C}" name="Table1" displayName="Table1" ref="A1:DW71" totalsRowCount="1">
  <autoFilter ref="A1:DW70" xr:uid="{CCA2CE98-F994-4A68-A0C5-6950364A662C}"/>
  <tableColumns count="127">
    <tableColumn id="1" xr3:uid="{467387CE-0D5E-4232-A057-177C6767EDCD}" name="start" dataDxfId="8" totalsRowDxfId="7"/>
    <tableColumn id="2" xr3:uid="{011D1076-E6D6-4840-8A8E-A614E8DBC08C}" name="end" dataDxfId="6" totalsRowDxfId="5"/>
    <tableColumn id="3" xr3:uid="{E5A10419-8BDB-471A-A5D1-CAC6215DD1AD}" name="This Questionnaire intends to asses the most Preferred Tree Species  for Kibwezi East &amp; West sub-counties-Makueni County"/>
    <tableColumn id="4" xr3:uid="{8694C092-9EB7-47F7-B05D-E3CF73D9FCCE}" name="Introduction and Consenting"/>
    <tableColumn id="5" xr3:uid="{2FFC44E7-9A31-41A0-ADA7-0EEB474BAA0B}" name="Dear respondent, the purpose of this study is to gather information on most desired tree species by local communities, reasons for choosing specific tree species, and how trees are used locally or for income generation. Their uses and benefits derived fro"/>
    <tableColumn id="6" xr3:uid="{02B4FE21-E56A-4CBB-AD68-3B76F515DCB9}" name="Do you agree to participate in this survey?"/>
    <tableColumn id="7" xr3:uid="{48230625-F1F9-4DA9-B5AA-BD2A64A10696}" name="SECTION A: Survey Quality Control"/>
    <tableColumn id="8" xr3:uid="{C18C4512-DD2F-4163-8360-B834184EB062}" name="Enumerator Name:"/>
    <tableColumn id="9" xr3:uid="{34E653C1-D347-4A7C-8B3B-D380DDA19F73}" name="Date of the interview" dataDxfId="4" totalsRowDxfId="3"/>
    <tableColumn id="10" xr3:uid="{76801A4A-2B37-4C1D-9B81-4C9844688B94}" name="Ward/ Location/ Village"/>
    <tableColumn id="11" xr3:uid="{1BA5A3AA-FC93-4DFB-81DC-458520066EE7}" name="Gps coordinates "/>
    <tableColumn id="12" xr3:uid="{EEF4C143-8E9A-4A2E-B7AC-ECDC3305F28A}" name="_Gps coordinates _latitude"/>
    <tableColumn id="13" xr3:uid="{469EBCF4-C052-47E4-87D5-5F28DCE46050}" name="_Gps coordinates _longitude"/>
    <tableColumn id="14" xr3:uid="{F20B5034-07EA-4817-B3A9-BB53E23BF268}" name="_Gps coordinates _altitude"/>
    <tableColumn id="15" xr3:uid="{C4BB7A8D-5769-4B6B-BF64-1D8ABCD4278B}" name="_Gps coordinates _precision"/>
    <tableColumn id="16" xr3:uid="{4B902832-550B-4B9D-86B2-67A1FB6FFB22}" name="SECTION B: Respondents General Information"/>
    <tableColumn id="17" xr3:uid="{56AF1D82-5F50-42A7-A992-1B965F2A5DC8}" name="Name of the respondent "/>
    <tableColumn id="18" xr3:uid="{648B6904-5FD3-492D-AD70-4E995BAFC729}" name="Gender"/>
    <tableColumn id="19" xr3:uid="{CA1B1A9C-260D-4584-9EB6-5944604F3AF3}" name="Age"/>
    <tableColumn id="20" xr3:uid="{259E9533-85B4-458E-B328-D0E371FED6EB}" name="Household size"/>
    <tableColumn id="21" xr3:uid="{3AAA03FC-FBC7-4CD5-A46A-4FEB8A0CD812}" name="Male "/>
    <tableColumn id="22" xr3:uid="{B56CC2DF-FFC1-432F-899A-EA640FFF193D}" name="Female"/>
    <tableColumn id="23" xr3:uid="{000E9324-6628-4FB1-A0A7-4B0A3CC25029}" name="Contact (Phone No:) "/>
    <tableColumn id="24" xr3:uid="{768230BF-C242-4227-9D5C-8856434F488D}" name="Occupation of the respondent"/>
    <tableColumn id="25" xr3:uid="{39A9E1A5-1328-4D96-9D55-394444A8AD3C}" name="Highest level of education"/>
    <tableColumn id="26" xr3:uid="{689D54F6-8305-4455-9CAA-5ADAE8429F96}" name="SECTION C: Farm Forestry Practices"/>
    <tableColumn id="27" xr3:uid="{D1E32724-D1DE-43BD-ABD2-24704E880B19}" name="What is your main livelihood source?"/>
    <tableColumn id="28" xr3:uid="{3F082FBE-460B-4B75-A6A3-426124CF8A57}" name="Crop farming" totalsRowFunction="custom">
      <totalsRowFormula>SUM(AB2:AB70)</totalsRowFormula>
    </tableColumn>
    <tableColumn id="29" xr3:uid="{197C0932-8614-4F43-B9CC-E53924F7CC35}" name="Livestock keeping" totalsRowFunction="custom">
      <totalsRowFormula>SUM(AC2:AC70)</totalsRowFormula>
    </tableColumn>
    <tableColumn id="30" xr3:uid="{7509E70F-94A0-42EC-98D5-C44B7E071496}" name="Agroforestry" totalsRowFunction="custom">
      <totalsRowFormula>SUM(AD2:AD70)</totalsRowFormula>
    </tableColumn>
    <tableColumn id="31" xr3:uid="{E384D807-CCA0-4657-9D05-DE61FAEB9C49}" name="Other" totalsRowFunction="custom">
      <totalsRowFormula>SUM(AE2:AE70)</totalsRowFormula>
    </tableColumn>
    <tableColumn id="32" xr3:uid="{1E28F74E-413E-47EE-84CC-61FE5AB10246}" name="For Others, specify"/>
    <tableColumn id="33" xr3:uid="{B0B09CB8-FF06-425C-93EA-ADB6A70AFEAE}" name="Do you practice Forestry"/>
    <tableColumn id="34" xr3:uid="{59520AC7-84EF-4427-8E1C-0333F4A1E1F0}" name="Do you practice farm forestry (planting crops and trees)"/>
    <tableColumn id="35" xr3:uid="{91B6AEF8-1CAE-4110-BAA9-17284B92C570}" name="If yes what other farm activities do you practice in your farm?"/>
    <tableColumn id="36" xr3:uid="{742B9E92-0591-469C-83C7-5EA29695EBC2}" name="Livestock keeping "/>
    <tableColumn id="37" xr3:uid="{ECB2B268-9AC5-4A46-8B9D-80392AA99D08}" name="Grass planting "/>
    <tableColumn id="38" xr3:uid="{8E90746C-4D5B-480C-BB34-4D557F7E1A17}" name="Horticulture "/>
    <tableColumn id="39" xr3:uid="{E77AADDA-455B-4590-8B40-155A1EB6D9CD}" name="Crop farming "/>
    <tableColumn id="40" xr3:uid="{9E74A7C2-7548-4A8D-BB83-0C567E595805}" name="Bee keeping "/>
    <tableColumn id="41" xr3:uid="{C34A9FEF-1250-4226-8D76-0768D5344283}" name="What is the area of your land under farm forestry (give acres)"/>
    <tableColumn id="42" xr3:uid="{3C523BE1-FBC7-45D2-BB20-7B76F87CB228}" name="Where do you obtain your seedlings?"/>
    <tableColumn id="43" xr3:uid="{A4BE3845-0E20-4A7E-ACF1-D6318D59222B}" name="KEFRI"/>
    <tableColumn id="44" xr3:uid="{1D759212-7880-4E67-9B05-754EC8EAD3D4}" name="County"/>
    <tableColumn id="45" xr3:uid="{9B58AAD3-A4CF-4F01-9B85-41694B8E239F}" name="Local nursery"/>
    <tableColumn id="46" xr3:uid="{79F0AAFE-6FC2-4C54-8073-6B242396B57F}" name="NGO"/>
    <tableColumn id="47" xr3:uid="{AEBF33EB-508E-4B9B-870D-75C897041B6B}" name="Self-raised"/>
    <tableColumn id="48" xr3:uid="{E3B8FBBB-204D-4B2B-BDE0-BD359B030D7E}" name="Other3"/>
    <tableColumn id="49" xr3:uid="{C12B03CC-2178-4665-A202-C0393ED6959F}" name="if other, specify"/>
    <tableColumn id="50" xr3:uid="{5E16B7F9-FD83-4B42-9F12-2D263EB6E808}" name="What are your main purposes for planting trees?"/>
    <tableColumn id="51" xr3:uid="{8CE8F06B-F7E4-4C9D-8259-71005A3C6EBE}" name="Shade"/>
    <tableColumn id="52" xr3:uid="{F0416877-E658-48BF-9783-626B6CE9892E}" name="Timber"/>
    <tableColumn id="53" xr3:uid="{F0B0D44D-D499-4219-924A-CE607194ED1C}" name="Fodder"/>
    <tableColumn id="54" xr3:uid="{13593962-16CF-492A-BF69-C02828809890}" name="Fruits"/>
    <tableColumn id="55" xr3:uid="{CA3E0EF3-B378-4A15-BC86-80FA8DE69587}" name="Fuelwood"/>
    <tableColumn id="56" xr3:uid="{EB79D7CB-E41F-4B4C-82AE-E2FDEDCDFD43}" name="Boundary marking"/>
    <tableColumn id="57" xr3:uid="{10AC9396-7126-4B76-9CE5-C6FBE63FDDBA}" name="Income generation"/>
    <tableColumn id="58" xr3:uid="{B4995E80-D95A-4AA2-BF0B-043203DFAA86}" name="Environmental reasons (erosion control, windbreak, etc)"/>
    <tableColumn id="59" xr3:uid="{E4AF0C22-AE02-4303-9B67-12E81B33E339}" name="Other2"/>
    <tableColumn id="60" xr3:uid="{EC54F854-003C-4F65-AD5D-FEA064728A6B}" name="Specify, Other"/>
    <tableColumn id="61" xr3:uid="{53E7D4F7-8921-43D4-8666-A4424F36EC03}" name="SECTION D: Tree Species Preferences"/>
    <tableColumn id="62" xr3:uid="{ADDA598D-3EE4-4DC6-BF82-6D8C27D1125E}" name="From the list below, select  ten tree species you most prefer to plant and why (eg. fruit, timber, fodder, medicine, resilience)?"/>
    <tableColumn id="63" xr3:uid="{4D09480C-0851-48C7-8DF0-053AA153A6BE}" name="Tamarindus indica (Tamarind)" totalsRowFunction="custom">
      <totalsRowFormula>COUNTIF(BK2:BK70,1)</totalsRowFormula>
    </tableColumn>
    <tableColumn id="64" xr3:uid="{AB77A1A9-80EE-4DBF-AB2F-DA1C7F455D54}" name="Melia Volkensii" totalsRowFunction="custom">
      <totalsRowFormula>COUNTIF(BL2:BL70,1)</totalsRowFormula>
    </tableColumn>
    <tableColumn id="65" xr3:uid="{7E3F4F4E-34D5-407E-9E16-6C796DEB6DB6}" name="Melia azederach" totalsRowFunction="custom">
      <totalsRowFormula>COUNTIF(BM2:BM70,1)</totalsRowFormula>
    </tableColumn>
    <tableColumn id="66" xr3:uid="{74163EF9-4FE4-4295-9D5D-10BFA03F5382}" name="Neem (Azadirachta indica)" totalsRowFunction="custom">
      <totalsRowFormula>COUNTIF(BN2:BN70,1)</totalsRowFormula>
    </tableColumn>
    <tableColumn id="67" xr3:uid="{51CA6AD9-000B-4908-96F8-44FCE62A00B2}" name="Senna siamea " totalsRowFunction="custom">
      <totalsRowFormula>COUNTIF(BO2:BO70,1)</totalsRowFormula>
    </tableColumn>
    <tableColumn id="68" xr3:uid="{1FBCDE89-3651-4966-9E48-426D3BD8AA74}" name="Senna abbreviata" totalsRowFunction="custom">
      <totalsRowFormula>COUNTIF(BP2:BP70,1)</totalsRowFormula>
    </tableColumn>
    <tableColumn id="69" xr3:uid="{16CA0930-8113-44F3-BF80-08AF00818DAD}" name="Acacia tortilis" totalsRowFunction="custom">
      <totalsRowFormula>COUNTIF(BQ2:BQ70,1)</totalsRowFormula>
    </tableColumn>
    <tableColumn id="70" xr3:uid="{FCB709C6-910A-4F51-B8A5-3DB03AA0DEC7}" name="Acacia melifera" totalsRowFunction="custom">
      <totalsRowFormula>COUNTIF(BR2:BR70,1)</totalsRowFormula>
    </tableColumn>
    <tableColumn id="71" xr3:uid="{F01A7F58-5549-4ED0-B9B7-E6A19B2353A4}" name="Acacia nilotica" totalsRowFunction="custom">
      <totalsRowFormula>COUNTIF(BS2:BS70,1)</totalsRowFormula>
    </tableColumn>
    <tableColumn id="72" xr3:uid="{E83B9A8C-41F7-4ABC-9B89-6FFA0EBDAD2F}" name="Acacia seyal" totalsRowFunction="custom">
      <totalsRowFormula>COUNTIF(BT2:BT70,1)</totalsRowFormula>
    </tableColumn>
    <tableColumn id="73" xr3:uid="{FBE2B9F3-E8EC-45D3-AFBE-D34199334D8A}" name="Acacia senegal" totalsRowFunction="custom">
      <totalsRowFormula>COUNTIF(BU2:BU70,1)</totalsRowFormula>
    </tableColumn>
    <tableColumn id="74" xr3:uid="{52F4D4DD-B61B-4565-B3EC-7CFC224BC99F}" name="Acacia elata" totalsRowFunction="custom">
      <totalsRowFormula>COUNTIF(BV2:BV70,1)</totalsRowFormula>
    </tableColumn>
    <tableColumn id="75" xr3:uid="{9B372990-CBC9-4B6C-BF89-039238D4F42D}" name="Dalbergia melanoxylon" totalsRowFunction="custom">
      <totalsRowFormula>COUNTIF(BW2:BW70,1)</totalsRowFormula>
    </tableColumn>
    <tableColumn id="76" xr3:uid="{644DB08E-CCBF-463C-B859-8428762F35C7}" name="Delonix regia" totalsRowFunction="custom">
      <totalsRowFormula>COUNTIF(BX2:BX70,1)</totalsRowFormula>
    </tableColumn>
    <tableColumn id="77" xr3:uid="{A23BA342-6EBB-43B5-BB25-BCDEAD4DF709}" name="croton megalocarpus" totalsRowFunction="custom">
      <totalsRowFormula>COUNTIF(BY2:BY70,1)</totalsRowFormula>
    </tableColumn>
    <tableColumn id="78" xr3:uid="{26B73E45-1721-4255-BD4D-FBC106229DFE}" name="Combretum brownii" totalsRowFunction="custom">
      <totalsRowFormula>COUNTIF(BZ2:BZ70,1)</totalsRowFormula>
    </tableColumn>
    <tableColumn id="79" xr3:uid="{C1F910C1-581B-4739-84DC-C17521B95CEC}" name="Vitex payos" totalsRowFunction="custom">
      <totalsRowFormula>COUNTIF(CA2:CA70,1)</totalsRowFormula>
    </tableColumn>
    <tableColumn id="80" xr3:uid="{026ED169-B721-43FB-98A1-2AF4A2D3E541}" name="Baobab (Adonsonia digitata)" totalsRowFunction="custom">
      <totalsRowFormula>COUNTIF(CB2:CB70,1)</totalsRowFormula>
    </tableColumn>
    <tableColumn id="81" xr3:uid="{60769EE2-E823-467E-BA9B-0FB524C66AAA}" name="Mango" totalsRowFunction="custom">
      <totalsRowFormula>COUNTIF(CC2:CC70,1)</totalsRowFormula>
    </tableColumn>
    <tableColumn id="82" xr3:uid="{0CC145F8-9E42-498F-B649-F3CEA74B57AD}" name="Avocado" totalsRowFunction="custom">
      <totalsRowFormula>COUNTIF(CD2:CD70,1)</totalsRowFormula>
    </tableColumn>
    <tableColumn id="83" xr3:uid="{66CEA4B4-0293-408B-BB9B-711CD202726B}" name="Indian osyris" totalsRowFunction="custom">
      <totalsRowFormula>COUNTIF(CE2:CE70,1)</totalsRowFormula>
    </tableColumn>
    <tableColumn id="84" xr3:uid="{E9117C39-23E1-4FFF-AEFC-1A6895FEA453}" name="Balanites aegyptiaca" totalsRowFunction="custom">
      <totalsRowFormula>COUNTIF(CF2:CF70,1)</totalsRowFormula>
    </tableColumn>
    <tableColumn id="85" xr3:uid="{FCD5966A-01E6-4487-89E2-4978A71ADB2F}" name="Terminalia brownii" totalsRowFunction="custom">
      <totalsRowFormula>COUNTIF(CG2:CG70,1)</totalsRowFormula>
    </tableColumn>
    <tableColumn id="86" xr3:uid="{E157BBA6-4D11-4C95-A4D6-2264652062B9}" name="Moringa oleifera" totalsRowFunction="custom">
      <totalsRowFormula>COUNTIF(CH2:CH70,1)</totalsRowFormula>
    </tableColumn>
    <tableColumn id="87" xr3:uid="{47711E0B-9D4A-4806-9C7D-B3F220E20266}" name="Olea africana" totalsRowFunction="custom">
      <totalsRowFormula>COUNTIF(CI2:CI70,1)</totalsRowFormula>
    </tableColumn>
    <tableColumn id="88" xr3:uid="{44189ACB-791E-48F8-93BC-471E7B726D2D}" name="Bambusa vulgaris (Bamboo)" totalsRowFunction="custom">
      <totalsRowFormula>COUNTIF(CJ2:CJ70,1)</totalsRowFormula>
    </tableColumn>
    <tableColumn id="89" xr3:uid="{54C2A0D7-A295-4DD9-86D4-69A15E99B19B}" name="Passion fruit" totalsRowFunction="custom">
      <totalsRowFormula>COUNTIF(CK2:CK70,1)</totalsRowFormula>
    </tableColumn>
    <tableColumn id="90" xr3:uid="{04259278-4213-444D-AE04-9B208ABDB9B2}" name="Lemon tree" totalsRowFunction="custom">
      <totalsRowFormula>COUNTIF(CL2:CL70,1)</totalsRowFormula>
    </tableColumn>
    <tableColumn id="91" xr3:uid="{566BDE6A-5AF1-445D-B0DF-EB904905460B}" name="Acacia xanthophloea " totalsRowFunction="custom">
      <totalsRowFormula>COUNTIF(CM2:CM70,1)</totalsRowFormula>
    </tableColumn>
    <tableColumn id="92" xr3:uid="{3E76AB67-68A4-4039-8453-47F32D2E9B1B}" name="Give Five (5) most preferred tree species to be planted in your farm in of priority and atleast three (3) reason  for each preference.  "/>
    <tableColumn id="93" xr3:uid="{6EF4C38B-9B47-4F2C-957C-FAAF05A4E130}" name="1st Choice tree species"/>
    <tableColumn id="94" xr3:uid="{F4B89D86-F027-4E00-AE08-EE31524BDB32}" name="Reasons"/>
    <tableColumn id="95" xr3:uid="{2700D343-DE16-4BB5-8489-455BB142C5EF}" name="2nd Choice tree species"/>
    <tableColumn id="96" xr3:uid="{06E0B7BB-0D6C-40DE-A9A5-B1780612F860}" name="Reasons2"/>
    <tableColumn id="97" xr3:uid="{DE2ABE37-7F70-4A77-81DE-0FCB485808DA}" name="3rd Choice tree species"/>
    <tableColumn id="98" xr3:uid="{F8E7F2C9-2A05-4F87-8E82-DE29614FC5D1}" name="Reasons3"/>
    <tableColumn id="99" xr3:uid="{2118208D-E2D1-4C91-85C2-CE89885E0DEC}" name="4th Choice tree species"/>
    <tableColumn id="100" xr3:uid="{69534A5E-E7A7-42D8-A31A-A52787C66592}" name="Reasons4"/>
    <tableColumn id="101" xr3:uid="{C1D6FA28-D7AC-4C20-99FB-06276FD40BA1}" name="5th Choice tree species"/>
    <tableColumn id="102" xr3:uid="{2BA59557-B5C5-47DE-A2F2-7562CECFBD53}" name="Reasons5"/>
    <tableColumn id="103" xr3:uid="{DEC5CA33-8EF1-42D6-B563-50C98CCC99C7}" name="Give five (5) least preferred tree species and reasons for each."/>
    <tableColumn id="104" xr3:uid="{5F47992A-8BB7-4487-A882-8082FBFDE34F}" name="Reasons6"/>
    <tableColumn id="105" xr3:uid="{B3F812D3-D822-42D8-BE3C-DE9BB67AF76B}" name="SECTION E: Timing and Preferences"/>
    <tableColumn id="106" xr3:uid="{17B6959B-7583-418C-8415-A02BDE25DCC5}" name="Which period of the year do you prefer to receive or plant seedlings?"/>
    <tableColumn id="108" xr3:uid="{FB9CEA74-BF93-424E-9F43-F79EC1AE632D}" name="How do you prefer seedlings to be distributed?"/>
    <tableColumn id="109" xr3:uid="{C8C8BD69-0B3F-407B-93C6-0907405A63CA}" name="Group distribution"/>
    <tableColumn id="110" xr3:uid="{08B9F82F-4042-4388-8330-C1C90A920EF0}" name="Individual pickup"/>
    <tableColumn id="111" xr3:uid="{BA6694F7-448B-4350-BD02-63B479F43937}" name="Through local leaders"/>
    <tableColumn id="112" xr3:uid="{B30C8045-B9C9-4355-83AA-ABF5A256FE9C}" name="Through school/youth groups"/>
    <tableColumn id="113" xr3:uid="{6C2A93A5-766E-470C-9B12-2F33C64FFE37}" name="Other4"/>
    <tableColumn id="115" xr3:uid="{6ABBB205-B5ED-4CCF-A445-3015DBF5E6FB}" name="SECTION F: Uses/ Potential benefits"/>
    <tableColumn id="116" xr3:uid="{C299B3DA-A281-4B42-97CA-892D8DBE2F24}" name="What are the benefits you get from planted trees?"/>
    <tableColumn id="117" xr3:uid="{B5A62310-97E9-4D2F-B578-A21FAE095854}" name="Give the most locally desired species by the community"/>
    <tableColumn id="118" xr3:uid="{AC8F6B59-6783-43F1-B003-D9E18B76AFBC}" name="What challenges do you face in growing trees?"/>
    <tableColumn id="147" xr3:uid="{5166F19B-C8D6-4FE2-82B8-DA102F03C8E1}" name="_id"/>
    <tableColumn id="148" xr3:uid="{0F7E970B-80B2-432A-B137-8282AB8BC858}" name="Column10"/>
    <tableColumn id="149" xr3:uid="{BFEE8F24-62FD-4C14-B331-AD8404C08839}" name="_submission_time" dataDxfId="2" totalsRowDxfId="1"/>
    <tableColumn id="150" xr3:uid="{EA69C481-B3EB-4D92-B46E-7E39450D1243}" name="_validation_status"/>
    <tableColumn id="151" xr3:uid="{13738047-1DFE-4F58-880F-194358330CB9}" name="_notes"/>
    <tableColumn id="152" xr3:uid="{68E981E3-0F4A-4CB8-8930-CCFDB6FE523B}" name="_status"/>
    <tableColumn id="153" xr3:uid="{00C5D522-607D-4269-BD0D-0818DB579F20}" name="_submitted_by"/>
    <tableColumn id="154" xr3:uid="{89EDFC79-3307-49C8-BFBD-BB7145275662}" name="__version__"/>
    <tableColumn id="155" xr3:uid="{9D3CF0F7-3459-48C6-9A85-1519673FC3FA}" name="_tags"/>
    <tableColumn id="156" xr3:uid="{C705BAF3-105F-4E20-B641-F01DE495B93D}" name="meta/rootUuid"/>
    <tableColumn id="157" xr3:uid="{5593A8AF-9043-4F2E-8DDD-53CA4B52FDEE}" name="_index"/>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47BCAE-0A8A-468B-95DC-8FFA8796AFA9}" name="Table2" displayName="Table2" ref="A1:B30" totalsRowShown="0" headerRowDxfId="0">
  <autoFilter ref="A1:B30" xr:uid="{A347BCAE-0A8A-468B-95DC-8FFA8796AFA9}">
    <filterColumn colId="1">
      <filters>
        <filter val="39"/>
        <filter val="45"/>
        <filter val="46"/>
        <filter val="49"/>
        <filter val="51"/>
        <filter val="58"/>
        <filter val="59"/>
        <filter val="65"/>
        <filter val="67"/>
        <filter val="68"/>
      </filters>
    </filterColumn>
  </autoFilter>
  <sortState xmlns:xlrd2="http://schemas.microsoft.com/office/spreadsheetml/2017/richdata2" ref="A17:B22">
    <sortCondition ref="B1:B30"/>
  </sortState>
  <tableColumns count="2">
    <tableColumn id="1" xr3:uid="{2A5346E1-2D34-4AD6-A96C-18FBDCE2253C}" name="Tree Species"/>
    <tableColumn id="2" xr3:uid="{EBFAD28F-7FA3-42BE-89F2-CD91E74BAE94}" name="Selectio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22.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W71"/>
  <sheetViews>
    <sheetView tabSelected="1" topLeftCell="E2" zoomScale="83" zoomScaleNormal="84" workbookViewId="0">
      <selection activeCell="K1" sqref="K1"/>
    </sheetView>
  </sheetViews>
  <sheetFormatPr defaultRowHeight="15" x14ac:dyDescent="0.25"/>
  <cols>
    <col min="1" max="1" width="16.5703125" customWidth="1"/>
    <col min="2" max="2" width="15.7109375" customWidth="1"/>
    <col min="3" max="3" width="19.5703125" customWidth="1"/>
    <col min="4" max="4" width="7.5703125" customWidth="1"/>
    <col min="5" max="5" width="23.28515625" customWidth="1"/>
    <col min="6" max="6" width="26.85546875" customWidth="1"/>
    <col min="7" max="7" width="20.7109375" customWidth="1"/>
    <col min="8" max="8" width="19.85546875" customWidth="1"/>
    <col min="9" max="9" width="22" customWidth="1"/>
    <col min="10" max="10" width="24.140625" customWidth="1"/>
    <col min="11" max="11" width="47.42578125" customWidth="1"/>
    <col min="12" max="12" width="29.28515625" customWidth="1"/>
    <col min="13" max="13" width="28.42578125" customWidth="1"/>
    <col min="14" max="14" width="26.85546875" customWidth="1"/>
    <col min="15" max="15" width="28" customWidth="1"/>
    <col min="16" max="16" width="17.140625" customWidth="1"/>
    <col min="17" max="17" width="25.28515625" customWidth="1"/>
    <col min="18" max="18" width="15" customWidth="1"/>
    <col min="19" max="19" width="16.140625" customWidth="1"/>
    <col min="20" max="20" width="16.5703125" customWidth="1"/>
    <col min="22" max="22" width="9.7109375" customWidth="1"/>
    <col min="23" max="23" width="21.42578125" customWidth="1"/>
    <col min="24" max="24" width="29.5703125" customWidth="1"/>
    <col min="25" max="25" width="26.28515625" customWidth="1"/>
    <col min="26" max="26" width="33.7109375" customWidth="1"/>
    <col min="27" max="27" width="60.140625" customWidth="1"/>
    <col min="28" max="28" width="15.42578125" customWidth="1"/>
    <col min="29" max="29" width="19.140625" customWidth="1"/>
    <col min="30" max="30" width="15.140625" customWidth="1"/>
    <col min="31" max="31" width="10.85546875" customWidth="1"/>
    <col min="32" max="32" width="27.7109375" customWidth="1"/>
    <col min="33" max="33" width="24.85546875" customWidth="1"/>
    <col min="34" max="34" width="51.7109375" customWidth="1"/>
    <col min="35" max="35" width="57" customWidth="1"/>
    <col min="36" max="36" width="21" customWidth="1"/>
    <col min="37" max="37" width="16.5703125" customWidth="1"/>
    <col min="38" max="38" width="16.85546875" customWidth="1"/>
    <col min="39" max="39" width="15.7109375" customWidth="1"/>
    <col min="40" max="40" width="14.7109375" customWidth="1"/>
    <col min="41" max="41" width="56.85546875" customWidth="1"/>
    <col min="42" max="42" width="36.140625" customWidth="1"/>
    <col min="43" max="43" width="10.42578125" customWidth="1"/>
    <col min="44" max="44" width="10.28515625" customWidth="1"/>
    <col min="45" max="45" width="15.140625" customWidth="1"/>
    <col min="46" max="46" width="11.5703125" customWidth="1"/>
    <col min="47" max="47" width="14" customWidth="1"/>
    <col min="48" max="48" width="14.42578125" customWidth="1"/>
    <col min="49" max="49" width="17.140625" customWidth="1"/>
    <col min="50" max="50" width="92.7109375" customWidth="1"/>
    <col min="51" max="51" width="12.5703125" customWidth="1"/>
    <col min="52" max="52" width="12" customWidth="1"/>
    <col min="53" max="53" width="13.28515625" customWidth="1"/>
    <col min="54" max="54" width="10" customWidth="1"/>
    <col min="55" max="55" width="14.28515625" customWidth="1"/>
    <col min="56" max="57" width="21" customWidth="1"/>
    <col min="58" max="58" width="51.5703125" customWidth="1"/>
    <col min="59" max="59" width="11.5703125" customWidth="1"/>
    <col min="60" max="60" width="24.5703125" customWidth="1"/>
    <col min="61" max="61" width="35.7109375" customWidth="1"/>
    <col min="62" max="62" width="73.42578125" customWidth="1"/>
    <col min="63" max="63" width="26.7109375" customWidth="1"/>
    <col min="64" max="64" width="17.85546875" customWidth="1"/>
    <col min="65" max="65" width="18.42578125" customWidth="1"/>
    <col min="66" max="66" width="25.140625" customWidth="1"/>
    <col min="67" max="67" width="16.140625" customWidth="1"/>
    <col min="68" max="68" width="18.28515625" customWidth="1"/>
    <col min="69" max="69" width="16" customWidth="1"/>
    <col min="70" max="70" width="17.28515625" customWidth="1"/>
    <col min="71" max="71" width="18.42578125" customWidth="1"/>
    <col min="72" max="72" width="16.5703125" customWidth="1"/>
    <col min="73" max="73" width="16.85546875" customWidth="1"/>
    <col min="74" max="74" width="15.28515625" customWidth="1"/>
    <col min="75" max="75" width="24" customWidth="1"/>
    <col min="76" max="76" width="15.5703125" customWidth="1"/>
    <col min="77" max="77" width="22.5703125" customWidth="1"/>
    <col min="78" max="78" width="20.7109375" customWidth="1"/>
    <col min="79" max="79" width="14.85546875" customWidth="1"/>
    <col min="80" max="80" width="27.85546875" customWidth="1"/>
    <col min="81" max="81" width="10.140625" customWidth="1"/>
    <col min="82" max="82" width="11.7109375" customWidth="1"/>
    <col min="83" max="83" width="15.42578125" customWidth="1"/>
    <col min="84" max="84" width="22.7109375" customWidth="1"/>
    <col min="85" max="85" width="20" customWidth="1"/>
    <col min="86" max="86" width="18" customWidth="1"/>
    <col min="87" max="87" width="15.42578125" customWidth="1"/>
    <col min="88" max="88" width="28.42578125" customWidth="1"/>
    <col min="89" max="89" width="17.140625" customWidth="1"/>
    <col min="90" max="90" width="14.85546875" customWidth="1"/>
    <col min="91" max="91" width="22" customWidth="1"/>
    <col min="92" max="92" width="73.42578125" customWidth="1"/>
    <col min="93" max="93" width="23.28515625" customWidth="1"/>
    <col min="94" max="94" width="69.7109375" customWidth="1"/>
    <col min="95" max="95" width="24" customWidth="1"/>
    <col min="96" max="96" width="76.5703125" customWidth="1"/>
    <col min="97" max="97" width="23.5703125" customWidth="1"/>
    <col min="98" max="98" width="11.42578125" customWidth="1"/>
    <col min="99" max="99" width="23.5703125" customWidth="1"/>
    <col min="100" max="100" width="11.42578125" customWidth="1"/>
    <col min="101" max="101" width="23.5703125" customWidth="1"/>
    <col min="102" max="102" width="11.42578125" customWidth="1"/>
    <col min="103" max="103" width="92.28515625" customWidth="1"/>
    <col min="104" max="104" width="24.5703125" customWidth="1"/>
    <col min="105" max="105" width="34" customWidth="1"/>
    <col min="106" max="106" width="64" customWidth="1"/>
    <col min="107" max="107" width="44.7109375" customWidth="1"/>
    <col min="108" max="108" width="21.42578125" customWidth="1"/>
    <col min="109" max="109" width="20.5703125" customWidth="1"/>
    <col min="110" max="110" width="24.5703125" customWidth="1"/>
    <col min="111" max="111" width="28.7109375" customWidth="1"/>
    <col min="112" max="112" width="13.28515625" customWidth="1"/>
    <col min="113" max="113" width="34.7109375" customWidth="1"/>
    <col min="114" max="114" width="47.5703125" customWidth="1"/>
    <col min="115" max="115" width="106" customWidth="1"/>
    <col min="116" max="116" width="109" customWidth="1"/>
    <col min="117" max="117" width="16.5703125" customWidth="1"/>
    <col min="118" max="118" width="54.85546875" customWidth="1"/>
    <col min="119" max="120" width="19.28515625" customWidth="1"/>
    <col min="122" max="122" width="9.42578125" customWidth="1"/>
    <col min="123" max="123" width="16.42578125" customWidth="1"/>
    <col min="124" max="124" width="13.7109375" customWidth="1"/>
    <col min="126" max="126" width="16.5703125" customWidth="1"/>
  </cols>
  <sheetData>
    <row r="1" spans="1:127" x14ac:dyDescent="0.25">
      <c r="A1" t="s">
        <v>0</v>
      </c>
      <c r="B1" t="s">
        <v>1</v>
      </c>
      <c r="C1" t="s">
        <v>2</v>
      </c>
      <c r="D1" t="s">
        <v>3</v>
      </c>
      <c r="E1" t="s">
        <v>1186</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81</v>
      </c>
      <c r="AC1" t="s">
        <v>1200</v>
      </c>
      <c r="AD1" t="s">
        <v>1201</v>
      </c>
      <c r="AE1" t="s">
        <v>319</v>
      </c>
      <c r="AF1" t="s">
        <v>26</v>
      </c>
      <c r="AG1" t="s">
        <v>27</v>
      </c>
      <c r="AH1" t="s">
        <v>28</v>
      </c>
      <c r="AI1" t="s">
        <v>29</v>
      </c>
      <c r="AJ1" t="s">
        <v>1208</v>
      </c>
      <c r="AK1" t="s">
        <v>1211</v>
      </c>
      <c r="AL1" t="s">
        <v>1210</v>
      </c>
      <c r="AM1" t="s">
        <v>79</v>
      </c>
      <c r="AN1" t="s">
        <v>1209</v>
      </c>
      <c r="AO1" t="s">
        <v>30</v>
      </c>
      <c r="AP1" t="s">
        <v>31</v>
      </c>
      <c r="AQ1" t="s">
        <v>83</v>
      </c>
      <c r="AR1" t="s">
        <v>1214</v>
      </c>
      <c r="AS1" t="s">
        <v>1213</v>
      </c>
      <c r="AT1" t="s">
        <v>1212</v>
      </c>
      <c r="AU1" t="s">
        <v>114</v>
      </c>
      <c r="AV1" t="s">
        <v>1224</v>
      </c>
      <c r="AW1" t="s">
        <v>32</v>
      </c>
      <c r="AX1" t="s">
        <v>33</v>
      </c>
      <c r="AY1" t="s">
        <v>1215</v>
      </c>
      <c r="AZ1" t="s">
        <v>1216</v>
      </c>
      <c r="BA1" t="s">
        <v>1217</v>
      </c>
      <c r="BB1" t="s">
        <v>1218</v>
      </c>
      <c r="BC1" t="s">
        <v>1219</v>
      </c>
      <c r="BD1" t="s">
        <v>1220</v>
      </c>
      <c r="BE1" t="s">
        <v>1221</v>
      </c>
      <c r="BF1" t="s">
        <v>1222</v>
      </c>
      <c r="BG1" t="s">
        <v>1223</v>
      </c>
      <c r="BH1" t="s">
        <v>34</v>
      </c>
      <c r="BI1" t="s">
        <v>35</v>
      </c>
      <c r="BJ1" t="s">
        <v>36</v>
      </c>
      <c r="BK1" t="s">
        <v>1225</v>
      </c>
      <c r="BL1" t="s">
        <v>1226</v>
      </c>
      <c r="BM1" t="s">
        <v>1227</v>
      </c>
      <c r="BN1" t="s">
        <v>1228</v>
      </c>
      <c r="BO1" t="s">
        <v>1229</v>
      </c>
      <c r="BP1" t="s">
        <v>1230</v>
      </c>
      <c r="BQ1" t="s">
        <v>96</v>
      </c>
      <c r="BR1" t="s">
        <v>749</v>
      </c>
      <c r="BS1" t="s">
        <v>1231</v>
      </c>
      <c r="BT1" t="s">
        <v>1232</v>
      </c>
      <c r="BU1" t="s">
        <v>1233</v>
      </c>
      <c r="BV1" t="s">
        <v>1234</v>
      </c>
      <c r="BW1" t="s">
        <v>1235</v>
      </c>
      <c r="BX1" t="s">
        <v>1236</v>
      </c>
      <c r="BY1" t="s">
        <v>1237</v>
      </c>
      <c r="BZ1" t="s">
        <v>1238</v>
      </c>
      <c r="CA1" t="s">
        <v>1239</v>
      </c>
      <c r="CB1" t="s">
        <v>1240</v>
      </c>
      <c r="CC1" t="s">
        <v>98</v>
      </c>
      <c r="CD1" t="s">
        <v>178</v>
      </c>
      <c r="CE1" t="s">
        <v>521</v>
      </c>
      <c r="CF1" t="s">
        <v>1241</v>
      </c>
      <c r="CG1" t="s">
        <v>236</v>
      </c>
      <c r="CH1" t="s">
        <v>199</v>
      </c>
      <c r="CI1" t="s">
        <v>1242</v>
      </c>
      <c r="CJ1" t="s">
        <v>1243</v>
      </c>
      <c r="CK1" t="s">
        <v>1105</v>
      </c>
      <c r="CL1" t="s">
        <v>1244</v>
      </c>
      <c r="CM1" t="s">
        <v>1245</v>
      </c>
      <c r="CN1" t="s">
        <v>37</v>
      </c>
      <c r="CO1" t="s">
        <v>38</v>
      </c>
      <c r="CP1" t="s">
        <v>39</v>
      </c>
      <c r="CQ1" t="s">
        <v>40</v>
      </c>
      <c r="CR1" t="s">
        <v>1187</v>
      </c>
      <c r="CS1" t="s">
        <v>41</v>
      </c>
      <c r="CT1" t="s">
        <v>1188</v>
      </c>
      <c r="CU1" t="s">
        <v>42</v>
      </c>
      <c r="CV1" t="s">
        <v>1189</v>
      </c>
      <c r="CW1" t="s">
        <v>43</v>
      </c>
      <c r="CX1" t="s">
        <v>1190</v>
      </c>
      <c r="CY1" t="s">
        <v>44</v>
      </c>
      <c r="CZ1" t="s">
        <v>1191</v>
      </c>
      <c r="DA1" t="s">
        <v>45</v>
      </c>
      <c r="DB1" t="s">
        <v>46</v>
      </c>
      <c r="DC1" t="s">
        <v>47</v>
      </c>
      <c r="DD1" t="s">
        <v>84</v>
      </c>
      <c r="DE1" t="s">
        <v>203</v>
      </c>
      <c r="DF1" t="s">
        <v>80</v>
      </c>
      <c r="DG1" t="s">
        <v>1246</v>
      </c>
      <c r="DH1" t="s">
        <v>1247</v>
      </c>
      <c r="DI1" t="s">
        <v>48</v>
      </c>
      <c r="DJ1" t="s">
        <v>49</v>
      </c>
      <c r="DK1" t="s">
        <v>50</v>
      </c>
      <c r="DL1" t="s">
        <v>51</v>
      </c>
      <c r="DM1" t="s">
        <v>52</v>
      </c>
      <c r="DN1" t="s">
        <v>1248</v>
      </c>
      <c r="DO1" t="s">
        <v>53</v>
      </c>
      <c r="DP1" t="s">
        <v>54</v>
      </c>
      <c r="DQ1" t="s">
        <v>55</v>
      </c>
      <c r="DR1" t="s">
        <v>56</v>
      </c>
      <c r="DS1" t="s">
        <v>57</v>
      </c>
      <c r="DT1" t="s">
        <v>58</v>
      </c>
      <c r="DU1" t="s">
        <v>59</v>
      </c>
      <c r="DV1" t="s">
        <v>60</v>
      </c>
      <c r="DW1" t="s">
        <v>61</v>
      </c>
    </row>
    <row r="2" spans="1:127" x14ac:dyDescent="0.25">
      <c r="A2" s="1">
        <v>45985.393978252323</v>
      </c>
      <c r="B2" s="1">
        <v>45985.480251250003</v>
      </c>
      <c r="F2" t="s">
        <v>63</v>
      </c>
      <c r="H2" t="s">
        <v>85</v>
      </c>
      <c r="I2" s="1">
        <v>45985</v>
      </c>
      <c r="J2" t="s">
        <v>86</v>
      </c>
      <c r="K2" t="s">
        <v>87</v>
      </c>
      <c r="L2">
        <v>-2.3502969999999999</v>
      </c>
      <c r="M2">
        <v>37.883617999999998</v>
      </c>
      <c r="N2">
        <v>984.8</v>
      </c>
      <c r="O2">
        <v>5.3000001907348633</v>
      </c>
      <c r="Q2" t="s">
        <v>88</v>
      </c>
      <c r="R2" t="s">
        <v>20</v>
      </c>
      <c r="S2" t="s">
        <v>89</v>
      </c>
      <c r="U2">
        <v>3</v>
      </c>
      <c r="V2">
        <v>3</v>
      </c>
      <c r="W2">
        <v>721870876</v>
      </c>
      <c r="X2" t="s">
        <v>66</v>
      </c>
      <c r="Y2" t="s">
        <v>67</v>
      </c>
      <c r="AA2" t="s">
        <v>81</v>
      </c>
      <c r="AB2">
        <v>1</v>
      </c>
      <c r="AC2">
        <v>0</v>
      </c>
      <c r="AD2">
        <v>0</v>
      </c>
      <c r="AE2">
        <v>0</v>
      </c>
      <c r="AG2" t="s">
        <v>90</v>
      </c>
      <c r="AH2" t="s">
        <v>82</v>
      </c>
      <c r="AP2" t="s">
        <v>91</v>
      </c>
      <c r="AQ2">
        <v>1</v>
      </c>
      <c r="AR2">
        <v>0</v>
      </c>
      <c r="AS2">
        <v>1</v>
      </c>
      <c r="AT2">
        <v>0</v>
      </c>
      <c r="AU2">
        <v>0</v>
      </c>
      <c r="AV2">
        <v>0</v>
      </c>
      <c r="AX2" t="s">
        <v>92</v>
      </c>
      <c r="AY2">
        <v>1</v>
      </c>
      <c r="AZ2">
        <v>1</v>
      </c>
      <c r="BA2">
        <v>0</v>
      </c>
      <c r="BB2">
        <v>1</v>
      </c>
      <c r="BC2">
        <v>0</v>
      </c>
      <c r="BD2">
        <v>1</v>
      </c>
      <c r="BE2">
        <v>0</v>
      </c>
      <c r="BF2">
        <v>1</v>
      </c>
      <c r="BG2">
        <v>0</v>
      </c>
      <c r="BJ2" t="s">
        <v>93</v>
      </c>
      <c r="BK2">
        <v>0</v>
      </c>
      <c r="BL2">
        <v>1</v>
      </c>
      <c r="BM2">
        <v>0</v>
      </c>
      <c r="BN2">
        <v>1</v>
      </c>
      <c r="BO2">
        <v>0</v>
      </c>
      <c r="BP2">
        <v>0</v>
      </c>
      <c r="BQ2">
        <v>1</v>
      </c>
      <c r="BR2">
        <v>0</v>
      </c>
      <c r="BS2">
        <v>0</v>
      </c>
      <c r="BT2">
        <v>0</v>
      </c>
      <c r="BU2">
        <v>0</v>
      </c>
      <c r="BV2">
        <v>0</v>
      </c>
      <c r="BW2">
        <v>1</v>
      </c>
      <c r="BX2">
        <v>0</v>
      </c>
      <c r="BY2">
        <v>1</v>
      </c>
      <c r="BZ2">
        <v>0</v>
      </c>
      <c r="CA2">
        <v>0</v>
      </c>
      <c r="CB2">
        <v>0</v>
      </c>
      <c r="CC2">
        <v>1</v>
      </c>
      <c r="CD2">
        <v>1</v>
      </c>
      <c r="CE2">
        <v>0</v>
      </c>
      <c r="CF2">
        <v>0</v>
      </c>
      <c r="CG2">
        <v>0</v>
      </c>
      <c r="CH2">
        <v>1</v>
      </c>
      <c r="CI2">
        <v>0</v>
      </c>
      <c r="CJ2">
        <v>0</v>
      </c>
      <c r="CK2">
        <v>1</v>
      </c>
      <c r="CL2">
        <v>1</v>
      </c>
      <c r="CM2">
        <v>0</v>
      </c>
      <c r="CO2" t="s">
        <v>94</v>
      </c>
      <c r="CP2" t="s">
        <v>95</v>
      </c>
      <c r="CQ2" t="s">
        <v>96</v>
      </c>
      <c r="CR2" t="s">
        <v>97</v>
      </c>
      <c r="CS2" t="s">
        <v>98</v>
      </c>
      <c r="CT2" t="s">
        <v>99</v>
      </c>
      <c r="CU2" t="s">
        <v>100</v>
      </c>
      <c r="CV2" t="s">
        <v>101</v>
      </c>
      <c r="CW2" t="s">
        <v>102</v>
      </c>
      <c r="CX2" t="s">
        <v>103</v>
      </c>
      <c r="CY2" t="s">
        <v>104</v>
      </c>
      <c r="CZ2" t="s">
        <v>105</v>
      </c>
      <c r="DB2" t="s">
        <v>74</v>
      </c>
      <c r="DC2" t="s">
        <v>84</v>
      </c>
      <c r="DD2">
        <v>1</v>
      </c>
      <c r="DE2">
        <v>0</v>
      </c>
      <c r="DF2">
        <v>0</v>
      </c>
      <c r="DG2">
        <v>0</v>
      </c>
      <c r="DH2">
        <v>0</v>
      </c>
      <c r="DJ2" t="s">
        <v>106</v>
      </c>
      <c r="DK2" t="s">
        <v>107</v>
      </c>
      <c r="DL2" t="s">
        <v>108</v>
      </c>
      <c r="DM2">
        <v>613408128</v>
      </c>
      <c r="DN2" t="s">
        <v>109</v>
      </c>
      <c r="DO2" s="1">
        <v>45985.35527777778</v>
      </c>
      <c r="DR2" t="s">
        <v>62</v>
      </c>
      <c r="DT2" t="s">
        <v>76</v>
      </c>
      <c r="DV2" t="s">
        <v>110</v>
      </c>
      <c r="DW2">
        <v>7</v>
      </c>
    </row>
    <row r="3" spans="1:127" x14ac:dyDescent="0.25">
      <c r="A3" s="1">
        <v>45985.480253240741</v>
      </c>
      <c r="B3" s="1">
        <v>45985.571317361108</v>
      </c>
      <c r="F3" t="s">
        <v>63</v>
      </c>
      <c r="H3" t="s">
        <v>85</v>
      </c>
      <c r="I3" s="1">
        <v>45985</v>
      </c>
      <c r="J3" t="s">
        <v>86</v>
      </c>
      <c r="K3" t="s">
        <v>111</v>
      </c>
      <c r="L3">
        <v>-2.350282</v>
      </c>
      <c r="M3">
        <v>37.883524999999999</v>
      </c>
      <c r="N3">
        <v>1014.3</v>
      </c>
      <c r="O3">
        <v>5.0999999046325684</v>
      </c>
      <c r="Q3" t="s">
        <v>112</v>
      </c>
      <c r="R3" t="s">
        <v>20</v>
      </c>
      <c r="S3" t="s">
        <v>89</v>
      </c>
      <c r="U3">
        <v>2</v>
      </c>
      <c r="V3">
        <v>2</v>
      </c>
      <c r="W3">
        <v>725563521</v>
      </c>
      <c r="X3" t="s">
        <v>66</v>
      </c>
      <c r="Y3" t="s">
        <v>67</v>
      </c>
      <c r="AA3" t="s">
        <v>81</v>
      </c>
      <c r="AB3">
        <v>1</v>
      </c>
      <c r="AC3">
        <v>0</v>
      </c>
      <c r="AD3">
        <v>0</v>
      </c>
      <c r="AE3">
        <v>0</v>
      </c>
      <c r="AG3" t="s">
        <v>90</v>
      </c>
      <c r="AH3" t="s">
        <v>70</v>
      </c>
      <c r="AI3" t="s">
        <v>113</v>
      </c>
      <c r="AJ3">
        <v>1</v>
      </c>
      <c r="AK3">
        <v>0</v>
      </c>
      <c r="AL3">
        <v>1</v>
      </c>
      <c r="AM3">
        <v>1</v>
      </c>
      <c r="AN3">
        <v>0</v>
      </c>
      <c r="AP3" t="s">
        <v>114</v>
      </c>
      <c r="AQ3">
        <v>0</v>
      </c>
      <c r="AR3">
        <v>0</v>
      </c>
      <c r="AS3">
        <v>0</v>
      </c>
      <c r="AT3">
        <v>0</v>
      </c>
      <c r="AU3">
        <v>1</v>
      </c>
      <c r="AV3">
        <v>0</v>
      </c>
      <c r="AX3" t="s">
        <v>115</v>
      </c>
      <c r="AY3">
        <v>1</v>
      </c>
      <c r="AZ3">
        <v>1</v>
      </c>
      <c r="BA3">
        <v>1</v>
      </c>
      <c r="BB3">
        <v>1</v>
      </c>
      <c r="BC3">
        <v>1</v>
      </c>
      <c r="BD3">
        <v>1</v>
      </c>
      <c r="BE3">
        <v>1</v>
      </c>
      <c r="BF3">
        <v>1</v>
      </c>
      <c r="BG3">
        <v>0</v>
      </c>
      <c r="BJ3" t="s">
        <v>116</v>
      </c>
      <c r="BK3">
        <v>0</v>
      </c>
      <c r="BL3">
        <v>1</v>
      </c>
      <c r="BM3">
        <v>0</v>
      </c>
      <c r="BN3">
        <v>1</v>
      </c>
      <c r="BO3">
        <v>0</v>
      </c>
      <c r="BP3">
        <v>0</v>
      </c>
      <c r="BQ3">
        <v>1</v>
      </c>
      <c r="BR3">
        <v>0</v>
      </c>
      <c r="BS3">
        <v>0</v>
      </c>
      <c r="BT3">
        <v>0</v>
      </c>
      <c r="BU3">
        <v>0</v>
      </c>
      <c r="BV3">
        <v>0</v>
      </c>
      <c r="BW3">
        <v>0</v>
      </c>
      <c r="BX3">
        <v>0</v>
      </c>
      <c r="BY3">
        <v>1</v>
      </c>
      <c r="BZ3">
        <v>0</v>
      </c>
      <c r="CA3">
        <v>0</v>
      </c>
      <c r="CB3">
        <v>0</v>
      </c>
      <c r="CC3">
        <v>1</v>
      </c>
      <c r="CD3">
        <v>1</v>
      </c>
      <c r="CE3">
        <v>0</v>
      </c>
      <c r="CF3">
        <v>0</v>
      </c>
      <c r="CG3">
        <v>1</v>
      </c>
      <c r="CH3">
        <v>1</v>
      </c>
      <c r="CI3">
        <v>0</v>
      </c>
      <c r="CJ3">
        <v>0</v>
      </c>
      <c r="CK3">
        <v>1</v>
      </c>
      <c r="CL3">
        <v>1</v>
      </c>
      <c r="CM3">
        <v>0</v>
      </c>
      <c r="CO3" t="s">
        <v>94</v>
      </c>
      <c r="CP3" t="s">
        <v>117</v>
      </c>
      <c r="CQ3" t="s">
        <v>98</v>
      </c>
      <c r="CR3" t="s">
        <v>118</v>
      </c>
      <c r="CS3" t="s">
        <v>100</v>
      </c>
      <c r="CT3" t="s">
        <v>119</v>
      </c>
      <c r="CU3" t="s">
        <v>102</v>
      </c>
      <c r="CV3" t="s">
        <v>120</v>
      </c>
      <c r="CW3" t="s">
        <v>96</v>
      </c>
      <c r="CX3" t="s">
        <v>121</v>
      </c>
      <c r="CY3" t="s">
        <v>122</v>
      </c>
      <c r="CZ3" t="s">
        <v>123</v>
      </c>
      <c r="DB3" t="s">
        <v>74</v>
      </c>
      <c r="DC3" t="s">
        <v>84</v>
      </c>
      <c r="DD3">
        <v>1</v>
      </c>
      <c r="DE3">
        <v>0</v>
      </c>
      <c r="DF3">
        <v>0</v>
      </c>
      <c r="DG3">
        <v>0</v>
      </c>
      <c r="DH3">
        <v>0</v>
      </c>
      <c r="DJ3" t="s">
        <v>124</v>
      </c>
      <c r="DK3" t="s">
        <v>94</v>
      </c>
      <c r="DL3" t="s">
        <v>125</v>
      </c>
      <c r="DM3">
        <v>613546446</v>
      </c>
      <c r="DN3" t="s">
        <v>126</v>
      </c>
      <c r="DO3" s="1">
        <v>45985.446342592593</v>
      </c>
      <c r="DR3" t="s">
        <v>62</v>
      </c>
      <c r="DT3" t="s">
        <v>76</v>
      </c>
      <c r="DV3" t="s">
        <v>127</v>
      </c>
      <c r="DW3">
        <v>8</v>
      </c>
    </row>
    <row r="4" spans="1:127" x14ac:dyDescent="0.25">
      <c r="A4" s="1">
        <v>45985.571319537034</v>
      </c>
      <c r="B4" s="1">
        <v>45985.65879976852</v>
      </c>
      <c r="F4" t="s">
        <v>63</v>
      </c>
      <c r="H4" t="s">
        <v>85</v>
      </c>
      <c r="I4" s="1">
        <v>45985</v>
      </c>
      <c r="J4" t="s">
        <v>86</v>
      </c>
      <c r="K4" t="s">
        <v>128</v>
      </c>
      <c r="L4">
        <v>-2.3526750000000001</v>
      </c>
      <c r="M4">
        <v>37.883417999999999</v>
      </c>
      <c r="N4">
        <v>995.7</v>
      </c>
      <c r="O4">
        <v>3.0999999046325679</v>
      </c>
      <c r="Q4" t="s">
        <v>129</v>
      </c>
      <c r="R4" t="s">
        <v>20</v>
      </c>
      <c r="S4" t="s">
        <v>130</v>
      </c>
      <c r="U4">
        <v>4</v>
      </c>
      <c r="V4">
        <v>2</v>
      </c>
      <c r="W4">
        <v>721582251</v>
      </c>
      <c r="X4" t="s">
        <v>66</v>
      </c>
      <c r="Y4" t="s">
        <v>67</v>
      </c>
      <c r="AA4" t="s">
        <v>81</v>
      </c>
      <c r="AB4">
        <v>1</v>
      </c>
      <c r="AC4">
        <v>0</v>
      </c>
      <c r="AD4">
        <v>0</v>
      </c>
      <c r="AE4">
        <v>0</v>
      </c>
      <c r="AG4" t="s">
        <v>90</v>
      </c>
      <c r="AH4" t="s">
        <v>70</v>
      </c>
      <c r="AI4" t="s">
        <v>113</v>
      </c>
      <c r="AJ4">
        <v>1</v>
      </c>
      <c r="AK4">
        <v>0</v>
      </c>
      <c r="AL4">
        <v>1</v>
      </c>
      <c r="AM4">
        <v>1</v>
      </c>
      <c r="AN4">
        <v>0</v>
      </c>
      <c r="AP4" t="s">
        <v>72</v>
      </c>
      <c r="AQ4">
        <v>1</v>
      </c>
      <c r="AR4">
        <v>0</v>
      </c>
      <c r="AS4">
        <v>0</v>
      </c>
      <c r="AT4">
        <v>0</v>
      </c>
      <c r="AU4">
        <v>1</v>
      </c>
      <c r="AV4">
        <v>0</v>
      </c>
      <c r="AX4" t="s">
        <v>131</v>
      </c>
      <c r="AY4">
        <v>1</v>
      </c>
      <c r="AZ4">
        <v>1</v>
      </c>
      <c r="BA4">
        <v>1</v>
      </c>
      <c r="BB4">
        <v>1</v>
      </c>
      <c r="BC4">
        <v>1</v>
      </c>
      <c r="BD4">
        <v>1</v>
      </c>
      <c r="BE4">
        <v>1</v>
      </c>
      <c r="BF4">
        <v>1</v>
      </c>
      <c r="BG4">
        <v>1</v>
      </c>
      <c r="BH4" t="s">
        <v>132</v>
      </c>
      <c r="BJ4" t="s">
        <v>133</v>
      </c>
      <c r="BK4">
        <v>1</v>
      </c>
      <c r="BL4">
        <v>1</v>
      </c>
      <c r="BM4">
        <v>0</v>
      </c>
      <c r="BN4">
        <v>1</v>
      </c>
      <c r="BO4">
        <v>0</v>
      </c>
      <c r="BP4">
        <v>0</v>
      </c>
      <c r="BQ4">
        <v>1</v>
      </c>
      <c r="BR4">
        <v>0</v>
      </c>
      <c r="BS4">
        <v>0</v>
      </c>
      <c r="BT4">
        <v>0</v>
      </c>
      <c r="BU4">
        <v>0</v>
      </c>
      <c r="BV4">
        <v>0</v>
      </c>
      <c r="BW4">
        <v>0</v>
      </c>
      <c r="BX4">
        <v>0</v>
      </c>
      <c r="BY4">
        <v>1</v>
      </c>
      <c r="BZ4">
        <v>0</v>
      </c>
      <c r="CA4">
        <v>0</v>
      </c>
      <c r="CB4">
        <v>0</v>
      </c>
      <c r="CC4">
        <v>1</v>
      </c>
      <c r="CD4">
        <v>0</v>
      </c>
      <c r="CE4">
        <v>0</v>
      </c>
      <c r="CF4">
        <v>1</v>
      </c>
      <c r="CG4">
        <v>1</v>
      </c>
      <c r="CH4">
        <v>1</v>
      </c>
      <c r="CI4">
        <v>0</v>
      </c>
      <c r="CJ4">
        <v>0</v>
      </c>
      <c r="CK4">
        <v>0</v>
      </c>
      <c r="CL4">
        <v>1</v>
      </c>
      <c r="CM4">
        <v>0</v>
      </c>
      <c r="CO4" t="s">
        <v>102</v>
      </c>
      <c r="CP4" t="s">
        <v>134</v>
      </c>
      <c r="CQ4" t="s">
        <v>94</v>
      </c>
      <c r="CR4" t="s">
        <v>135</v>
      </c>
      <c r="CS4" t="s">
        <v>100</v>
      </c>
      <c r="CT4" t="s">
        <v>136</v>
      </c>
      <c r="CU4" t="s">
        <v>98</v>
      </c>
      <c r="CV4" t="s">
        <v>137</v>
      </c>
      <c r="CW4" t="s">
        <v>138</v>
      </c>
      <c r="CX4" t="s">
        <v>139</v>
      </c>
      <c r="CY4" t="s">
        <v>140</v>
      </c>
      <c r="CZ4" t="s">
        <v>141</v>
      </c>
      <c r="DB4" t="s">
        <v>74</v>
      </c>
      <c r="DC4" t="s">
        <v>84</v>
      </c>
      <c r="DD4">
        <v>1</v>
      </c>
      <c r="DE4">
        <v>0</v>
      </c>
      <c r="DF4">
        <v>0</v>
      </c>
      <c r="DG4">
        <v>0</v>
      </c>
      <c r="DH4">
        <v>0</v>
      </c>
      <c r="DJ4" t="s">
        <v>142</v>
      </c>
      <c r="DK4" t="s">
        <v>143</v>
      </c>
      <c r="DL4" t="s">
        <v>144</v>
      </c>
      <c r="DM4">
        <v>613666256</v>
      </c>
      <c r="DN4" t="s">
        <v>145</v>
      </c>
      <c r="DO4" s="1">
        <v>45985.533819444441</v>
      </c>
      <c r="DR4" t="s">
        <v>62</v>
      </c>
      <c r="DT4" t="s">
        <v>76</v>
      </c>
      <c r="DV4" t="s">
        <v>146</v>
      </c>
      <c r="DW4">
        <v>9</v>
      </c>
    </row>
    <row r="5" spans="1:127" x14ac:dyDescent="0.25">
      <c r="A5" s="1">
        <v>45985.658802280093</v>
      </c>
      <c r="B5" s="1">
        <v>45986.560555185177</v>
      </c>
      <c r="F5" t="s">
        <v>63</v>
      </c>
      <c r="H5" t="s">
        <v>85</v>
      </c>
      <c r="I5" s="1">
        <v>45986</v>
      </c>
      <c r="J5" t="s">
        <v>147</v>
      </c>
      <c r="K5" t="s">
        <v>148</v>
      </c>
      <c r="L5">
        <v>-2.3650340000000001</v>
      </c>
      <c r="M5">
        <v>37.892175000000002</v>
      </c>
      <c r="N5">
        <v>0</v>
      </c>
      <c r="O5">
        <v>600</v>
      </c>
      <c r="Q5" t="s">
        <v>149</v>
      </c>
      <c r="R5" t="s">
        <v>20</v>
      </c>
      <c r="S5" t="s">
        <v>130</v>
      </c>
      <c r="U5">
        <v>4</v>
      </c>
      <c r="V5">
        <v>1</v>
      </c>
      <c r="W5">
        <v>724354292</v>
      </c>
      <c r="X5" t="s">
        <v>150</v>
      </c>
      <c r="Y5" t="s">
        <v>67</v>
      </c>
      <c r="AA5" t="s">
        <v>151</v>
      </c>
      <c r="AB5">
        <v>0</v>
      </c>
      <c r="AC5">
        <v>1</v>
      </c>
      <c r="AD5">
        <v>1</v>
      </c>
      <c r="AE5">
        <v>1</v>
      </c>
      <c r="AF5" t="s">
        <v>152</v>
      </c>
      <c r="AG5" t="s">
        <v>69</v>
      </c>
      <c r="AH5" t="s">
        <v>70</v>
      </c>
      <c r="AI5" t="s">
        <v>153</v>
      </c>
      <c r="AJ5">
        <v>1</v>
      </c>
      <c r="AK5">
        <v>1</v>
      </c>
      <c r="AL5">
        <v>1</v>
      </c>
      <c r="AM5">
        <v>1</v>
      </c>
      <c r="AN5">
        <v>1</v>
      </c>
      <c r="AO5">
        <v>5</v>
      </c>
      <c r="AP5" t="s">
        <v>91</v>
      </c>
      <c r="AQ5">
        <v>1</v>
      </c>
      <c r="AR5">
        <v>0</v>
      </c>
      <c r="AS5">
        <v>1</v>
      </c>
      <c r="AT5">
        <v>0</v>
      </c>
      <c r="AU5">
        <v>0</v>
      </c>
      <c r="AV5">
        <v>0</v>
      </c>
      <c r="AX5" t="s">
        <v>115</v>
      </c>
      <c r="AY5">
        <v>1</v>
      </c>
      <c r="AZ5">
        <v>1</v>
      </c>
      <c r="BA5">
        <v>1</v>
      </c>
      <c r="BB5">
        <v>1</v>
      </c>
      <c r="BC5">
        <v>1</v>
      </c>
      <c r="BD5">
        <v>1</v>
      </c>
      <c r="BE5">
        <v>1</v>
      </c>
      <c r="BF5">
        <v>1</v>
      </c>
      <c r="BG5">
        <v>0</v>
      </c>
      <c r="BJ5" t="s">
        <v>154</v>
      </c>
      <c r="BK5">
        <v>1</v>
      </c>
      <c r="BL5">
        <v>1</v>
      </c>
      <c r="BM5">
        <v>0</v>
      </c>
      <c r="BN5">
        <v>1</v>
      </c>
      <c r="BO5">
        <v>1</v>
      </c>
      <c r="BP5">
        <v>0</v>
      </c>
      <c r="BQ5">
        <v>1</v>
      </c>
      <c r="BR5">
        <v>0</v>
      </c>
      <c r="BS5">
        <v>0</v>
      </c>
      <c r="BT5">
        <v>0</v>
      </c>
      <c r="BU5">
        <v>0</v>
      </c>
      <c r="BV5">
        <v>0</v>
      </c>
      <c r="BW5">
        <v>0</v>
      </c>
      <c r="BX5">
        <v>0</v>
      </c>
      <c r="BY5">
        <v>0</v>
      </c>
      <c r="BZ5">
        <v>0</v>
      </c>
      <c r="CA5">
        <v>0</v>
      </c>
      <c r="CB5">
        <v>0</v>
      </c>
      <c r="CC5">
        <v>1</v>
      </c>
      <c r="CD5">
        <v>1</v>
      </c>
      <c r="CE5">
        <v>1</v>
      </c>
      <c r="CF5">
        <v>0</v>
      </c>
      <c r="CG5">
        <v>0</v>
      </c>
      <c r="CH5">
        <v>0</v>
      </c>
      <c r="CI5">
        <v>0</v>
      </c>
      <c r="CJ5">
        <v>0</v>
      </c>
      <c r="CK5">
        <v>1</v>
      </c>
      <c r="CL5">
        <v>1</v>
      </c>
      <c r="CM5">
        <v>0</v>
      </c>
      <c r="CO5" t="s">
        <v>94</v>
      </c>
      <c r="CP5" t="s">
        <v>155</v>
      </c>
      <c r="CQ5" t="s">
        <v>98</v>
      </c>
      <c r="CR5" t="s">
        <v>156</v>
      </c>
      <c r="CS5" t="s">
        <v>96</v>
      </c>
      <c r="CT5" t="s">
        <v>157</v>
      </c>
      <c r="CU5" t="s">
        <v>102</v>
      </c>
      <c r="CV5" t="s">
        <v>158</v>
      </c>
      <c r="CW5" t="s">
        <v>100</v>
      </c>
      <c r="CX5" t="s">
        <v>159</v>
      </c>
      <c r="CY5" t="s">
        <v>160</v>
      </c>
      <c r="CZ5" t="s">
        <v>161</v>
      </c>
      <c r="DB5" t="s">
        <v>74</v>
      </c>
      <c r="DC5" t="s">
        <v>84</v>
      </c>
      <c r="DD5">
        <v>1</v>
      </c>
      <c r="DE5">
        <v>0</v>
      </c>
      <c r="DF5">
        <v>0</v>
      </c>
      <c r="DG5">
        <v>0</v>
      </c>
      <c r="DH5">
        <v>0</v>
      </c>
      <c r="DJ5" t="s">
        <v>162</v>
      </c>
      <c r="DK5" t="s">
        <v>163</v>
      </c>
      <c r="DL5" t="s">
        <v>164</v>
      </c>
      <c r="DM5">
        <v>614426653</v>
      </c>
      <c r="DN5" t="s">
        <v>165</v>
      </c>
      <c r="DO5" s="1">
        <v>45986.435578703713</v>
      </c>
      <c r="DR5" t="s">
        <v>62</v>
      </c>
      <c r="DT5" t="s">
        <v>76</v>
      </c>
      <c r="DV5" t="s">
        <v>166</v>
      </c>
      <c r="DW5">
        <v>10</v>
      </c>
    </row>
    <row r="6" spans="1:127" x14ac:dyDescent="0.25">
      <c r="A6" s="1">
        <v>45986.560556898148</v>
      </c>
      <c r="B6" s="1">
        <v>45986.66932695602</v>
      </c>
      <c r="F6" t="s">
        <v>63</v>
      </c>
      <c r="H6" t="s">
        <v>85</v>
      </c>
      <c r="I6" s="1">
        <v>45986</v>
      </c>
      <c r="J6" t="s">
        <v>167</v>
      </c>
      <c r="K6" t="s">
        <v>168</v>
      </c>
      <c r="L6">
        <v>-2.345615</v>
      </c>
      <c r="M6">
        <v>37.886552000000002</v>
      </c>
      <c r="N6">
        <v>997.2</v>
      </c>
      <c r="O6">
        <v>5.6999998092651367</v>
      </c>
      <c r="Q6" t="s">
        <v>169</v>
      </c>
      <c r="R6" t="s">
        <v>64</v>
      </c>
      <c r="S6" t="s">
        <v>77</v>
      </c>
      <c r="U6">
        <v>4</v>
      </c>
      <c r="V6">
        <v>3</v>
      </c>
      <c r="W6">
        <v>721511016</v>
      </c>
      <c r="X6" t="s">
        <v>170</v>
      </c>
      <c r="Y6" t="s">
        <v>67</v>
      </c>
      <c r="AA6" t="s">
        <v>171</v>
      </c>
      <c r="AB6">
        <v>1</v>
      </c>
      <c r="AC6">
        <v>1</v>
      </c>
      <c r="AD6">
        <v>1</v>
      </c>
      <c r="AE6">
        <v>1</v>
      </c>
      <c r="AF6" t="s">
        <v>152</v>
      </c>
      <c r="AG6" t="s">
        <v>69</v>
      </c>
      <c r="AH6" t="s">
        <v>70</v>
      </c>
      <c r="AI6" t="s">
        <v>172</v>
      </c>
      <c r="AJ6">
        <v>1</v>
      </c>
      <c r="AK6">
        <v>1</v>
      </c>
      <c r="AL6">
        <v>1</v>
      </c>
      <c r="AM6">
        <v>1</v>
      </c>
      <c r="AN6">
        <v>0</v>
      </c>
      <c r="AO6">
        <v>5</v>
      </c>
      <c r="AP6" t="s">
        <v>91</v>
      </c>
      <c r="AQ6">
        <v>1</v>
      </c>
      <c r="AR6">
        <v>0</v>
      </c>
      <c r="AS6">
        <v>1</v>
      </c>
      <c r="AT6">
        <v>0</v>
      </c>
      <c r="AU6">
        <v>0</v>
      </c>
      <c r="AV6">
        <v>0</v>
      </c>
      <c r="AX6" t="s">
        <v>115</v>
      </c>
      <c r="AY6">
        <v>1</v>
      </c>
      <c r="AZ6">
        <v>1</v>
      </c>
      <c r="BA6">
        <v>1</v>
      </c>
      <c r="BB6">
        <v>1</v>
      </c>
      <c r="BC6">
        <v>1</v>
      </c>
      <c r="BD6">
        <v>1</v>
      </c>
      <c r="BE6">
        <v>1</v>
      </c>
      <c r="BF6">
        <v>1</v>
      </c>
      <c r="BG6">
        <v>0</v>
      </c>
      <c r="BJ6" t="s">
        <v>173</v>
      </c>
      <c r="BK6">
        <v>1</v>
      </c>
      <c r="BL6">
        <v>1</v>
      </c>
      <c r="BM6">
        <v>0</v>
      </c>
      <c r="BN6">
        <v>1</v>
      </c>
      <c r="BO6">
        <v>0</v>
      </c>
      <c r="BP6">
        <v>0</v>
      </c>
      <c r="BQ6">
        <v>0</v>
      </c>
      <c r="BR6">
        <v>0</v>
      </c>
      <c r="BS6">
        <v>0</v>
      </c>
      <c r="BT6">
        <v>0</v>
      </c>
      <c r="BU6">
        <v>0</v>
      </c>
      <c r="BV6">
        <v>0</v>
      </c>
      <c r="BW6">
        <v>1</v>
      </c>
      <c r="BX6">
        <v>0</v>
      </c>
      <c r="BY6">
        <v>1</v>
      </c>
      <c r="BZ6">
        <v>0</v>
      </c>
      <c r="CA6">
        <v>0</v>
      </c>
      <c r="CB6">
        <v>0</v>
      </c>
      <c r="CC6">
        <v>1</v>
      </c>
      <c r="CD6">
        <v>1</v>
      </c>
      <c r="CE6">
        <v>1</v>
      </c>
      <c r="CF6">
        <v>0</v>
      </c>
      <c r="CG6">
        <v>0</v>
      </c>
      <c r="CH6">
        <v>0</v>
      </c>
      <c r="CI6">
        <v>0</v>
      </c>
      <c r="CJ6">
        <v>0</v>
      </c>
      <c r="CK6">
        <v>1</v>
      </c>
      <c r="CL6">
        <v>1</v>
      </c>
      <c r="CM6">
        <v>0</v>
      </c>
      <c r="CO6" t="s">
        <v>94</v>
      </c>
      <c r="CP6" t="s">
        <v>174</v>
      </c>
      <c r="CQ6" t="s">
        <v>98</v>
      </c>
      <c r="CR6" t="s">
        <v>175</v>
      </c>
      <c r="CS6" t="s">
        <v>102</v>
      </c>
      <c r="CT6" t="s">
        <v>176</v>
      </c>
      <c r="CU6" t="s">
        <v>100</v>
      </c>
      <c r="CV6" t="s">
        <v>177</v>
      </c>
      <c r="CW6" t="s">
        <v>178</v>
      </c>
      <c r="CX6" t="s">
        <v>179</v>
      </c>
      <c r="CY6" t="s">
        <v>180</v>
      </c>
      <c r="CZ6" t="s">
        <v>181</v>
      </c>
      <c r="DB6" t="s">
        <v>74</v>
      </c>
      <c r="DC6" t="s">
        <v>84</v>
      </c>
      <c r="DD6">
        <v>1</v>
      </c>
      <c r="DE6">
        <v>0</v>
      </c>
      <c r="DF6">
        <v>0</v>
      </c>
      <c r="DG6">
        <v>0</v>
      </c>
      <c r="DH6">
        <v>0</v>
      </c>
      <c r="DJ6" t="s">
        <v>182</v>
      </c>
      <c r="DK6" t="s">
        <v>183</v>
      </c>
      <c r="DL6" t="s">
        <v>184</v>
      </c>
      <c r="DM6">
        <v>614584979</v>
      </c>
      <c r="DN6" t="s">
        <v>185</v>
      </c>
      <c r="DO6" s="1">
        <v>45986.544340277767</v>
      </c>
      <c r="DR6" t="s">
        <v>62</v>
      </c>
      <c r="DT6" t="s">
        <v>76</v>
      </c>
      <c r="DV6" t="s">
        <v>186</v>
      </c>
      <c r="DW6">
        <v>11</v>
      </c>
    </row>
    <row r="7" spans="1:127" x14ac:dyDescent="0.25">
      <c r="A7" s="1">
        <v>45986.669329039352</v>
      </c>
      <c r="B7" s="1">
        <v>45986.690974004632</v>
      </c>
      <c r="F7" t="s">
        <v>63</v>
      </c>
      <c r="H7" t="s">
        <v>85</v>
      </c>
      <c r="I7" s="1">
        <v>45986</v>
      </c>
      <c r="J7" t="s">
        <v>187</v>
      </c>
      <c r="K7" t="s">
        <v>188</v>
      </c>
      <c r="L7">
        <v>-2.3400720000000002</v>
      </c>
      <c r="M7">
        <v>37.877119999999998</v>
      </c>
      <c r="N7">
        <v>983.2</v>
      </c>
      <c r="O7">
        <v>4.8000001907348633</v>
      </c>
      <c r="Q7" t="s">
        <v>189</v>
      </c>
      <c r="R7" t="s">
        <v>64</v>
      </c>
      <c r="S7" t="s">
        <v>190</v>
      </c>
      <c r="U7">
        <v>3</v>
      </c>
      <c r="V7">
        <v>1</v>
      </c>
      <c r="W7">
        <v>722483835</v>
      </c>
      <c r="X7" t="s">
        <v>150</v>
      </c>
      <c r="Y7" t="s">
        <v>67</v>
      </c>
      <c r="AA7" t="s">
        <v>191</v>
      </c>
      <c r="AB7">
        <v>1</v>
      </c>
      <c r="AC7">
        <v>0</v>
      </c>
      <c r="AD7">
        <v>1</v>
      </c>
      <c r="AE7">
        <v>1</v>
      </c>
      <c r="AF7" t="s">
        <v>152</v>
      </c>
      <c r="AG7" t="s">
        <v>69</v>
      </c>
      <c r="AH7" t="s">
        <v>70</v>
      </c>
      <c r="AI7" t="s">
        <v>192</v>
      </c>
      <c r="AJ7">
        <v>0</v>
      </c>
      <c r="AK7">
        <v>0</v>
      </c>
      <c r="AL7">
        <v>1</v>
      </c>
      <c r="AM7">
        <v>1</v>
      </c>
      <c r="AN7">
        <v>0</v>
      </c>
      <c r="AO7">
        <v>7</v>
      </c>
      <c r="AP7" t="s">
        <v>91</v>
      </c>
      <c r="AQ7">
        <v>1</v>
      </c>
      <c r="AR7">
        <v>0</v>
      </c>
      <c r="AS7">
        <v>1</v>
      </c>
      <c r="AT7">
        <v>0</v>
      </c>
      <c r="AU7">
        <v>0</v>
      </c>
      <c r="AV7">
        <v>0</v>
      </c>
      <c r="AX7" t="s">
        <v>115</v>
      </c>
      <c r="AY7">
        <v>1</v>
      </c>
      <c r="AZ7">
        <v>1</v>
      </c>
      <c r="BA7">
        <v>1</v>
      </c>
      <c r="BB7">
        <v>1</v>
      </c>
      <c r="BC7">
        <v>1</v>
      </c>
      <c r="BD7">
        <v>1</v>
      </c>
      <c r="BE7">
        <v>1</v>
      </c>
      <c r="BF7">
        <v>1</v>
      </c>
      <c r="BG7">
        <v>0</v>
      </c>
      <c r="BJ7" t="s">
        <v>193</v>
      </c>
      <c r="BK7">
        <v>0</v>
      </c>
      <c r="BL7">
        <v>1</v>
      </c>
      <c r="BM7">
        <v>0</v>
      </c>
      <c r="BN7">
        <v>1</v>
      </c>
      <c r="BO7">
        <v>0</v>
      </c>
      <c r="BP7">
        <v>1</v>
      </c>
      <c r="BQ7">
        <v>0</v>
      </c>
      <c r="BR7">
        <v>0</v>
      </c>
      <c r="BS7">
        <v>0</v>
      </c>
      <c r="BT7">
        <v>1</v>
      </c>
      <c r="BU7">
        <v>0</v>
      </c>
      <c r="BV7">
        <v>0</v>
      </c>
      <c r="BW7">
        <v>1</v>
      </c>
      <c r="BX7">
        <v>1</v>
      </c>
      <c r="BY7">
        <v>0</v>
      </c>
      <c r="BZ7">
        <v>0</v>
      </c>
      <c r="CA7">
        <v>0</v>
      </c>
      <c r="CB7">
        <v>0</v>
      </c>
      <c r="CC7">
        <v>1</v>
      </c>
      <c r="CD7">
        <v>0</v>
      </c>
      <c r="CE7">
        <v>0</v>
      </c>
      <c r="CF7">
        <v>0</v>
      </c>
      <c r="CG7">
        <v>0</v>
      </c>
      <c r="CH7">
        <v>1</v>
      </c>
      <c r="CI7">
        <v>0</v>
      </c>
      <c r="CJ7">
        <v>0</v>
      </c>
      <c r="CK7">
        <v>1</v>
      </c>
      <c r="CL7">
        <v>1</v>
      </c>
      <c r="CM7">
        <v>0</v>
      </c>
      <c r="CO7" t="s">
        <v>98</v>
      </c>
      <c r="CP7" t="s">
        <v>194</v>
      </c>
      <c r="CQ7" t="s">
        <v>100</v>
      </c>
      <c r="CR7" t="s">
        <v>195</v>
      </c>
      <c r="CS7" t="s">
        <v>94</v>
      </c>
      <c r="CT7" t="s">
        <v>196</v>
      </c>
      <c r="CU7" t="s">
        <v>197</v>
      </c>
      <c r="CV7" t="s">
        <v>198</v>
      </c>
      <c r="CW7" t="s">
        <v>199</v>
      </c>
      <c r="CX7" t="s">
        <v>200</v>
      </c>
      <c r="CY7" t="s">
        <v>201</v>
      </c>
      <c r="CZ7" t="s">
        <v>202</v>
      </c>
      <c r="DB7" t="s">
        <v>74</v>
      </c>
      <c r="DC7" t="s">
        <v>203</v>
      </c>
      <c r="DD7">
        <v>0</v>
      </c>
      <c r="DE7">
        <v>1</v>
      </c>
      <c r="DF7">
        <v>0</v>
      </c>
      <c r="DG7">
        <v>0</v>
      </c>
      <c r="DH7">
        <v>0</v>
      </c>
      <c r="DJ7" t="s">
        <v>204</v>
      </c>
      <c r="DK7" t="s">
        <v>205</v>
      </c>
      <c r="DL7" t="s">
        <v>206</v>
      </c>
      <c r="DM7">
        <v>614617694</v>
      </c>
      <c r="DN7" t="s">
        <v>207</v>
      </c>
      <c r="DO7" s="1">
        <v>45986.565995370373</v>
      </c>
      <c r="DR7" t="s">
        <v>62</v>
      </c>
      <c r="DT7" t="s">
        <v>76</v>
      </c>
      <c r="DV7" t="s">
        <v>208</v>
      </c>
      <c r="DW7">
        <v>12</v>
      </c>
    </row>
    <row r="8" spans="1:127" x14ac:dyDescent="0.25">
      <c r="A8" s="1">
        <v>45986.690976226862</v>
      </c>
      <c r="B8" s="1">
        <v>45987.482944525473</v>
      </c>
      <c r="F8" t="s">
        <v>63</v>
      </c>
      <c r="H8" t="s">
        <v>85</v>
      </c>
      <c r="I8" s="1">
        <v>45987</v>
      </c>
      <c r="J8" t="s">
        <v>147</v>
      </c>
      <c r="K8" t="s">
        <v>209</v>
      </c>
      <c r="L8">
        <v>-2.3401519999999998</v>
      </c>
      <c r="M8">
        <v>37.877755000000001</v>
      </c>
      <c r="N8">
        <v>1002.9</v>
      </c>
      <c r="O8">
        <v>6</v>
      </c>
      <c r="Q8" t="s">
        <v>210</v>
      </c>
      <c r="R8" t="s">
        <v>64</v>
      </c>
      <c r="S8" t="s">
        <v>190</v>
      </c>
      <c r="U8">
        <v>3</v>
      </c>
      <c r="V8">
        <v>1</v>
      </c>
      <c r="W8">
        <v>721319165</v>
      </c>
      <c r="X8" t="s">
        <v>150</v>
      </c>
      <c r="Y8" t="s">
        <v>78</v>
      </c>
      <c r="AA8" t="s">
        <v>211</v>
      </c>
      <c r="AB8">
        <v>1</v>
      </c>
      <c r="AC8">
        <v>1</v>
      </c>
      <c r="AD8">
        <v>0</v>
      </c>
      <c r="AE8">
        <v>0</v>
      </c>
      <c r="AG8" t="s">
        <v>90</v>
      </c>
      <c r="AH8" t="s">
        <v>82</v>
      </c>
      <c r="AP8" t="s">
        <v>91</v>
      </c>
      <c r="AQ8">
        <v>1</v>
      </c>
      <c r="AR8">
        <v>0</v>
      </c>
      <c r="AS8">
        <v>1</v>
      </c>
      <c r="AT8">
        <v>0</v>
      </c>
      <c r="AU8">
        <v>0</v>
      </c>
      <c r="AV8">
        <v>0</v>
      </c>
      <c r="AX8" t="s">
        <v>115</v>
      </c>
      <c r="AY8">
        <v>1</v>
      </c>
      <c r="AZ8">
        <v>1</v>
      </c>
      <c r="BA8">
        <v>1</v>
      </c>
      <c r="BB8">
        <v>1</v>
      </c>
      <c r="BC8">
        <v>1</v>
      </c>
      <c r="BD8">
        <v>1</v>
      </c>
      <c r="BE8">
        <v>1</v>
      </c>
      <c r="BF8">
        <v>1</v>
      </c>
      <c r="BG8">
        <v>0</v>
      </c>
      <c r="BJ8" t="s">
        <v>212</v>
      </c>
      <c r="BK8">
        <v>0</v>
      </c>
      <c r="BL8">
        <v>1</v>
      </c>
      <c r="BM8">
        <v>0</v>
      </c>
      <c r="BN8">
        <v>1</v>
      </c>
      <c r="BO8">
        <v>0</v>
      </c>
      <c r="BP8">
        <v>0</v>
      </c>
      <c r="BQ8">
        <v>1</v>
      </c>
      <c r="BR8">
        <v>0</v>
      </c>
      <c r="BS8">
        <v>0</v>
      </c>
      <c r="BT8">
        <v>0</v>
      </c>
      <c r="BU8">
        <v>0</v>
      </c>
      <c r="BV8">
        <v>0</v>
      </c>
      <c r="BW8">
        <v>1</v>
      </c>
      <c r="BX8">
        <v>1</v>
      </c>
      <c r="BY8">
        <v>0</v>
      </c>
      <c r="BZ8">
        <v>0</v>
      </c>
      <c r="CA8">
        <v>0</v>
      </c>
      <c r="CB8">
        <v>0</v>
      </c>
      <c r="CC8">
        <v>1</v>
      </c>
      <c r="CD8">
        <v>1</v>
      </c>
      <c r="CE8">
        <v>0</v>
      </c>
      <c r="CF8">
        <v>0</v>
      </c>
      <c r="CG8">
        <v>0</v>
      </c>
      <c r="CH8">
        <v>1</v>
      </c>
      <c r="CI8">
        <v>0</v>
      </c>
      <c r="CJ8">
        <v>0</v>
      </c>
      <c r="CK8">
        <v>1</v>
      </c>
      <c r="CL8">
        <v>1</v>
      </c>
      <c r="CM8">
        <v>0</v>
      </c>
      <c r="CO8" t="s">
        <v>98</v>
      </c>
      <c r="CP8" t="s">
        <v>213</v>
      </c>
      <c r="CQ8" t="s">
        <v>100</v>
      </c>
      <c r="CR8" t="s">
        <v>214</v>
      </c>
      <c r="CS8" t="s">
        <v>94</v>
      </c>
      <c r="CT8" t="s">
        <v>215</v>
      </c>
      <c r="CU8" t="s">
        <v>178</v>
      </c>
      <c r="CV8" t="s">
        <v>216</v>
      </c>
      <c r="CW8" t="s">
        <v>102</v>
      </c>
      <c r="CX8" t="s">
        <v>217</v>
      </c>
      <c r="CY8" t="s">
        <v>218</v>
      </c>
      <c r="CZ8" t="s">
        <v>219</v>
      </c>
      <c r="DB8" t="s">
        <v>74</v>
      </c>
      <c r="DC8" t="s">
        <v>203</v>
      </c>
      <c r="DD8">
        <v>0</v>
      </c>
      <c r="DE8">
        <v>1</v>
      </c>
      <c r="DF8">
        <v>0</v>
      </c>
      <c r="DG8">
        <v>0</v>
      </c>
      <c r="DH8">
        <v>0</v>
      </c>
      <c r="DJ8" t="s">
        <v>220</v>
      </c>
      <c r="DK8" t="s">
        <v>221</v>
      </c>
      <c r="DL8" t="s">
        <v>222</v>
      </c>
      <c r="DM8">
        <v>615966478</v>
      </c>
      <c r="DN8" t="s">
        <v>223</v>
      </c>
      <c r="DO8" s="1">
        <v>45988.182106481479</v>
      </c>
      <c r="DR8" t="s">
        <v>62</v>
      </c>
      <c r="DT8" t="s">
        <v>76</v>
      </c>
      <c r="DV8" t="s">
        <v>224</v>
      </c>
      <c r="DW8">
        <v>13</v>
      </c>
    </row>
    <row r="9" spans="1:127" x14ac:dyDescent="0.25">
      <c r="A9" s="1">
        <v>45988.58531574074</v>
      </c>
      <c r="B9" s="1">
        <v>45989.391913622683</v>
      </c>
      <c r="F9" t="s">
        <v>63</v>
      </c>
      <c r="H9" t="s">
        <v>85</v>
      </c>
      <c r="I9" s="1">
        <v>45988</v>
      </c>
      <c r="J9" t="s">
        <v>225</v>
      </c>
      <c r="K9" t="s">
        <v>226</v>
      </c>
      <c r="L9">
        <v>-2.3159420000000002</v>
      </c>
      <c r="M9">
        <v>37.854598000000003</v>
      </c>
      <c r="N9">
        <v>879.2</v>
      </c>
      <c r="O9">
        <v>61.900001525878913</v>
      </c>
      <c r="Q9" t="s">
        <v>227</v>
      </c>
      <c r="R9" t="s">
        <v>20</v>
      </c>
      <c r="S9" t="s">
        <v>228</v>
      </c>
      <c r="U9">
        <v>2</v>
      </c>
      <c r="V9">
        <v>2</v>
      </c>
      <c r="W9">
        <v>720915256</v>
      </c>
      <c r="X9" t="s">
        <v>66</v>
      </c>
      <c r="Y9" t="s">
        <v>67</v>
      </c>
      <c r="AA9" t="s">
        <v>171</v>
      </c>
      <c r="AB9">
        <v>1</v>
      </c>
      <c r="AC9">
        <v>1</v>
      </c>
      <c r="AD9">
        <v>1</v>
      </c>
      <c r="AE9">
        <v>1</v>
      </c>
      <c r="AF9" t="s">
        <v>229</v>
      </c>
      <c r="AG9" t="s">
        <v>69</v>
      </c>
      <c r="AH9" t="s">
        <v>70</v>
      </c>
      <c r="AI9" t="s">
        <v>230</v>
      </c>
      <c r="AJ9">
        <v>1</v>
      </c>
      <c r="AK9">
        <v>1</v>
      </c>
      <c r="AL9">
        <v>0</v>
      </c>
      <c r="AM9">
        <v>1</v>
      </c>
      <c r="AN9">
        <v>0</v>
      </c>
      <c r="AO9">
        <v>5</v>
      </c>
      <c r="AP9" t="s">
        <v>91</v>
      </c>
      <c r="AQ9">
        <v>1</v>
      </c>
      <c r="AR9">
        <v>0</v>
      </c>
      <c r="AS9">
        <v>1</v>
      </c>
      <c r="AT9">
        <v>0</v>
      </c>
      <c r="AU9">
        <v>0</v>
      </c>
      <c r="AV9">
        <v>0</v>
      </c>
      <c r="AX9" t="s">
        <v>115</v>
      </c>
      <c r="AY9">
        <v>1</v>
      </c>
      <c r="AZ9">
        <v>1</v>
      </c>
      <c r="BA9">
        <v>1</v>
      </c>
      <c r="BB9">
        <v>1</v>
      </c>
      <c r="BC9">
        <v>1</v>
      </c>
      <c r="BD9">
        <v>1</v>
      </c>
      <c r="BE9">
        <v>1</v>
      </c>
      <c r="BF9">
        <v>1</v>
      </c>
      <c r="BG9">
        <v>0</v>
      </c>
      <c r="BJ9" t="s">
        <v>231</v>
      </c>
      <c r="BK9">
        <v>1</v>
      </c>
      <c r="BL9">
        <v>1</v>
      </c>
      <c r="BM9">
        <v>0</v>
      </c>
      <c r="BN9">
        <v>1</v>
      </c>
      <c r="BO9">
        <v>1</v>
      </c>
      <c r="BP9">
        <v>0</v>
      </c>
      <c r="BQ9">
        <v>1</v>
      </c>
      <c r="BR9">
        <v>0</v>
      </c>
      <c r="BS9">
        <v>0</v>
      </c>
      <c r="BT9">
        <v>0</v>
      </c>
      <c r="BU9">
        <v>0</v>
      </c>
      <c r="BV9">
        <v>0</v>
      </c>
      <c r="BW9">
        <v>0</v>
      </c>
      <c r="BX9">
        <v>0</v>
      </c>
      <c r="BY9">
        <v>0</v>
      </c>
      <c r="BZ9">
        <v>0</v>
      </c>
      <c r="CA9">
        <v>0</v>
      </c>
      <c r="CB9">
        <v>0</v>
      </c>
      <c r="CC9">
        <v>1</v>
      </c>
      <c r="CD9">
        <v>1</v>
      </c>
      <c r="CE9">
        <v>0</v>
      </c>
      <c r="CF9">
        <v>0</v>
      </c>
      <c r="CG9">
        <v>1</v>
      </c>
      <c r="CH9">
        <v>0</v>
      </c>
      <c r="CI9">
        <v>1</v>
      </c>
      <c r="CJ9">
        <v>0</v>
      </c>
      <c r="CK9">
        <v>0</v>
      </c>
      <c r="CL9">
        <v>1</v>
      </c>
      <c r="CM9">
        <v>0</v>
      </c>
      <c r="CO9" t="s">
        <v>102</v>
      </c>
      <c r="CP9" t="s">
        <v>232</v>
      </c>
      <c r="CQ9" t="s">
        <v>94</v>
      </c>
      <c r="CR9" t="s">
        <v>233</v>
      </c>
      <c r="CS9" t="s">
        <v>98</v>
      </c>
      <c r="CT9" t="s">
        <v>234</v>
      </c>
      <c r="CU9" t="s">
        <v>100</v>
      </c>
      <c r="CV9" t="s">
        <v>235</v>
      </c>
      <c r="CW9" t="s">
        <v>236</v>
      </c>
      <c r="CX9" t="s">
        <v>237</v>
      </c>
      <c r="CY9" t="s">
        <v>238</v>
      </c>
      <c r="CZ9" t="s">
        <v>239</v>
      </c>
      <c r="DB9" t="s">
        <v>74</v>
      </c>
      <c r="DC9" t="s">
        <v>80</v>
      </c>
      <c r="DD9">
        <v>0</v>
      </c>
      <c r="DE9">
        <v>0</v>
      </c>
      <c r="DF9">
        <v>1</v>
      </c>
      <c r="DG9">
        <v>0</v>
      </c>
      <c r="DH9">
        <v>0</v>
      </c>
      <c r="DJ9" t="s">
        <v>240</v>
      </c>
      <c r="DK9" t="s">
        <v>241</v>
      </c>
      <c r="DL9" t="s">
        <v>242</v>
      </c>
      <c r="DM9">
        <v>616908785</v>
      </c>
      <c r="DN9" t="s">
        <v>243</v>
      </c>
      <c r="DO9" s="1">
        <v>45989.266932870371</v>
      </c>
      <c r="DR9" t="s">
        <v>62</v>
      </c>
      <c r="DT9" t="s">
        <v>76</v>
      </c>
      <c r="DV9" t="s">
        <v>244</v>
      </c>
      <c r="DW9">
        <v>16</v>
      </c>
    </row>
    <row r="10" spans="1:127" x14ac:dyDescent="0.25">
      <c r="A10" s="1">
        <v>45989.392077453696</v>
      </c>
      <c r="B10" s="1">
        <v>45989.430796134257</v>
      </c>
      <c r="F10" t="s">
        <v>63</v>
      </c>
      <c r="H10" t="s">
        <v>85</v>
      </c>
      <c r="I10" s="1">
        <v>45989</v>
      </c>
      <c r="J10" t="s">
        <v>225</v>
      </c>
      <c r="K10" t="s">
        <v>245</v>
      </c>
      <c r="L10">
        <v>-2.3159920000000001</v>
      </c>
      <c r="M10">
        <v>37.853209999999997</v>
      </c>
      <c r="N10">
        <v>1005.3</v>
      </c>
      <c r="O10">
        <v>10</v>
      </c>
      <c r="Q10" t="s">
        <v>246</v>
      </c>
      <c r="R10" t="s">
        <v>20</v>
      </c>
      <c r="S10" t="s">
        <v>89</v>
      </c>
      <c r="U10">
        <v>2</v>
      </c>
      <c r="V10">
        <v>1</v>
      </c>
      <c r="W10">
        <v>714742020</v>
      </c>
      <c r="X10" t="s">
        <v>150</v>
      </c>
      <c r="Y10" t="s">
        <v>247</v>
      </c>
      <c r="AA10" t="s">
        <v>81</v>
      </c>
      <c r="AB10">
        <v>1</v>
      </c>
      <c r="AC10">
        <v>0</v>
      </c>
      <c r="AD10">
        <v>0</v>
      </c>
      <c r="AE10">
        <v>0</v>
      </c>
      <c r="AG10" t="s">
        <v>90</v>
      </c>
      <c r="AH10" t="s">
        <v>82</v>
      </c>
      <c r="AP10" t="s">
        <v>83</v>
      </c>
      <c r="AQ10">
        <v>1</v>
      </c>
      <c r="AR10">
        <v>0</v>
      </c>
      <c r="AS10">
        <v>0</v>
      </c>
      <c r="AT10">
        <v>0</v>
      </c>
      <c r="AU10">
        <v>0</v>
      </c>
      <c r="AV10">
        <v>0</v>
      </c>
      <c r="AX10" t="s">
        <v>115</v>
      </c>
      <c r="AY10">
        <v>1</v>
      </c>
      <c r="AZ10">
        <v>1</v>
      </c>
      <c r="BA10">
        <v>1</v>
      </c>
      <c r="BB10">
        <v>1</v>
      </c>
      <c r="BC10">
        <v>1</v>
      </c>
      <c r="BD10">
        <v>1</v>
      </c>
      <c r="BE10">
        <v>1</v>
      </c>
      <c r="BF10">
        <v>1</v>
      </c>
      <c r="BG10">
        <v>0</v>
      </c>
      <c r="BJ10" t="s">
        <v>248</v>
      </c>
      <c r="BK10">
        <v>1</v>
      </c>
      <c r="BL10">
        <v>1</v>
      </c>
      <c r="BM10">
        <v>0</v>
      </c>
      <c r="BN10">
        <v>1</v>
      </c>
      <c r="BO10">
        <v>1</v>
      </c>
      <c r="BP10">
        <v>0</v>
      </c>
      <c r="BQ10">
        <v>0</v>
      </c>
      <c r="BR10">
        <v>0</v>
      </c>
      <c r="BS10">
        <v>0</v>
      </c>
      <c r="BT10">
        <v>0</v>
      </c>
      <c r="BU10">
        <v>0</v>
      </c>
      <c r="BV10">
        <v>0</v>
      </c>
      <c r="BW10">
        <v>0</v>
      </c>
      <c r="BX10">
        <v>0</v>
      </c>
      <c r="BY10">
        <v>0</v>
      </c>
      <c r="BZ10">
        <v>0</v>
      </c>
      <c r="CA10">
        <v>0</v>
      </c>
      <c r="CB10">
        <v>0</v>
      </c>
      <c r="CC10">
        <v>1</v>
      </c>
      <c r="CD10">
        <v>0</v>
      </c>
      <c r="CE10">
        <v>0</v>
      </c>
      <c r="CF10">
        <v>0</v>
      </c>
      <c r="CG10">
        <v>1</v>
      </c>
      <c r="CH10">
        <v>1</v>
      </c>
      <c r="CI10">
        <v>0</v>
      </c>
      <c r="CJ10">
        <v>0</v>
      </c>
      <c r="CK10">
        <v>1</v>
      </c>
      <c r="CL10">
        <v>1</v>
      </c>
      <c r="CM10">
        <v>0</v>
      </c>
      <c r="CO10" t="s">
        <v>100</v>
      </c>
      <c r="CP10" t="s">
        <v>249</v>
      </c>
      <c r="CQ10" t="s">
        <v>98</v>
      </c>
      <c r="CR10" t="s">
        <v>250</v>
      </c>
      <c r="CS10" t="s">
        <v>102</v>
      </c>
      <c r="CT10" t="s">
        <v>251</v>
      </c>
      <c r="CU10" t="s">
        <v>94</v>
      </c>
      <c r="CV10" t="s">
        <v>252</v>
      </c>
      <c r="CW10" t="s">
        <v>253</v>
      </c>
      <c r="CX10" t="s">
        <v>254</v>
      </c>
      <c r="CY10" t="s">
        <v>255</v>
      </c>
      <c r="CZ10" t="s">
        <v>256</v>
      </c>
      <c r="DB10" t="s">
        <v>74</v>
      </c>
      <c r="DC10" t="s">
        <v>80</v>
      </c>
      <c r="DD10">
        <v>0</v>
      </c>
      <c r="DE10">
        <v>0</v>
      </c>
      <c r="DF10">
        <v>1</v>
      </c>
      <c r="DG10">
        <v>0</v>
      </c>
      <c r="DH10">
        <v>0</v>
      </c>
      <c r="DJ10" t="s">
        <v>257</v>
      </c>
      <c r="DK10" t="s">
        <v>258</v>
      </c>
      <c r="DL10" t="s">
        <v>259</v>
      </c>
      <c r="DM10">
        <v>616943795</v>
      </c>
      <c r="DN10" t="s">
        <v>260</v>
      </c>
      <c r="DO10" s="1">
        <v>45989.305810185193</v>
      </c>
      <c r="DR10" t="s">
        <v>62</v>
      </c>
      <c r="DT10" t="s">
        <v>76</v>
      </c>
      <c r="DV10" t="s">
        <v>261</v>
      </c>
      <c r="DW10">
        <v>18</v>
      </c>
    </row>
    <row r="11" spans="1:127" x14ac:dyDescent="0.25">
      <c r="A11" s="1">
        <v>45989.430798090281</v>
      </c>
      <c r="B11" s="1">
        <v>45989.457317129629</v>
      </c>
      <c r="F11" t="s">
        <v>63</v>
      </c>
      <c r="H11" t="s">
        <v>85</v>
      </c>
      <c r="I11" s="1">
        <v>45989</v>
      </c>
      <c r="J11" t="s">
        <v>262</v>
      </c>
      <c r="K11" t="s">
        <v>263</v>
      </c>
      <c r="L11">
        <v>-2.3153779999999999</v>
      </c>
      <c r="M11">
        <v>37.851464999999997</v>
      </c>
      <c r="N11">
        <v>979.1</v>
      </c>
      <c r="O11">
        <v>18</v>
      </c>
      <c r="Q11" t="s">
        <v>264</v>
      </c>
      <c r="R11" t="s">
        <v>20</v>
      </c>
      <c r="S11" t="s">
        <v>130</v>
      </c>
      <c r="U11">
        <v>2</v>
      </c>
      <c r="V11">
        <v>2</v>
      </c>
      <c r="W11">
        <v>717644080</v>
      </c>
      <c r="X11" t="s">
        <v>150</v>
      </c>
      <c r="Y11" t="s">
        <v>78</v>
      </c>
      <c r="AA11" t="s">
        <v>265</v>
      </c>
      <c r="AB11">
        <v>1</v>
      </c>
      <c r="AC11">
        <v>0</v>
      </c>
      <c r="AD11">
        <v>1</v>
      </c>
      <c r="AE11">
        <v>0</v>
      </c>
      <c r="AG11" t="s">
        <v>90</v>
      </c>
      <c r="AH11" t="s">
        <v>70</v>
      </c>
      <c r="AI11" t="s">
        <v>79</v>
      </c>
      <c r="AJ11">
        <v>0</v>
      </c>
      <c r="AK11">
        <v>0</v>
      </c>
      <c r="AL11">
        <v>0</v>
      </c>
      <c r="AM11">
        <v>1</v>
      </c>
      <c r="AN11">
        <v>0</v>
      </c>
      <c r="AP11" t="s">
        <v>91</v>
      </c>
      <c r="AQ11">
        <v>1</v>
      </c>
      <c r="AR11">
        <v>0</v>
      </c>
      <c r="AS11">
        <v>1</v>
      </c>
      <c r="AT11">
        <v>0</v>
      </c>
      <c r="AU11">
        <v>0</v>
      </c>
      <c r="AV11">
        <v>0</v>
      </c>
      <c r="AX11" t="s">
        <v>115</v>
      </c>
      <c r="AY11">
        <v>1</v>
      </c>
      <c r="AZ11">
        <v>1</v>
      </c>
      <c r="BA11">
        <v>1</v>
      </c>
      <c r="BB11">
        <v>1</v>
      </c>
      <c r="BC11">
        <v>1</v>
      </c>
      <c r="BD11">
        <v>1</v>
      </c>
      <c r="BE11">
        <v>1</v>
      </c>
      <c r="BF11">
        <v>1</v>
      </c>
      <c r="BG11">
        <v>0</v>
      </c>
      <c r="BJ11" t="s">
        <v>266</v>
      </c>
      <c r="BK11">
        <v>1</v>
      </c>
      <c r="BL11">
        <v>1</v>
      </c>
      <c r="BM11">
        <v>0</v>
      </c>
      <c r="BN11">
        <v>1</v>
      </c>
      <c r="BO11">
        <v>1</v>
      </c>
      <c r="BP11">
        <v>1</v>
      </c>
      <c r="BQ11">
        <v>0</v>
      </c>
      <c r="BR11">
        <v>0</v>
      </c>
      <c r="BS11">
        <v>0</v>
      </c>
      <c r="BT11">
        <v>0</v>
      </c>
      <c r="BU11">
        <v>0</v>
      </c>
      <c r="BV11">
        <v>0</v>
      </c>
      <c r="BW11">
        <v>0</v>
      </c>
      <c r="BX11">
        <v>0</v>
      </c>
      <c r="BY11">
        <v>0</v>
      </c>
      <c r="BZ11">
        <v>0</v>
      </c>
      <c r="CA11">
        <v>0</v>
      </c>
      <c r="CB11">
        <v>0</v>
      </c>
      <c r="CC11">
        <v>1</v>
      </c>
      <c r="CD11">
        <v>0</v>
      </c>
      <c r="CE11">
        <v>0</v>
      </c>
      <c r="CF11">
        <v>0</v>
      </c>
      <c r="CG11">
        <v>1</v>
      </c>
      <c r="CH11">
        <v>1</v>
      </c>
      <c r="CI11">
        <v>0</v>
      </c>
      <c r="CJ11">
        <v>0</v>
      </c>
      <c r="CK11">
        <v>1</v>
      </c>
      <c r="CL11">
        <v>1</v>
      </c>
      <c r="CM11">
        <v>0</v>
      </c>
      <c r="CO11" t="s">
        <v>98</v>
      </c>
      <c r="CP11" t="s">
        <v>267</v>
      </c>
      <c r="CQ11" t="s">
        <v>100</v>
      </c>
      <c r="CR11" t="s">
        <v>268</v>
      </c>
      <c r="CS11" t="s">
        <v>94</v>
      </c>
      <c r="CT11" t="s">
        <v>269</v>
      </c>
      <c r="CU11" t="s">
        <v>270</v>
      </c>
      <c r="CV11" t="s">
        <v>271</v>
      </c>
      <c r="CW11" t="s">
        <v>199</v>
      </c>
      <c r="CX11" t="s">
        <v>272</v>
      </c>
      <c r="CY11" t="s">
        <v>273</v>
      </c>
      <c r="CZ11" t="s">
        <v>274</v>
      </c>
      <c r="DB11" t="s">
        <v>74</v>
      </c>
      <c r="DC11" t="s">
        <v>80</v>
      </c>
      <c r="DD11">
        <v>0</v>
      </c>
      <c r="DE11">
        <v>0</v>
      </c>
      <c r="DF11">
        <v>1</v>
      </c>
      <c r="DG11">
        <v>0</v>
      </c>
      <c r="DH11">
        <v>0</v>
      </c>
      <c r="DJ11" t="s">
        <v>275</v>
      </c>
      <c r="DK11" t="s">
        <v>276</v>
      </c>
      <c r="DL11" t="s">
        <v>277</v>
      </c>
      <c r="DM11">
        <v>616970347</v>
      </c>
      <c r="DN11" t="s">
        <v>278</v>
      </c>
      <c r="DO11" s="1">
        <v>45989.332349537042</v>
      </c>
      <c r="DR11" t="s">
        <v>62</v>
      </c>
      <c r="DT11" t="s">
        <v>76</v>
      </c>
      <c r="DV11" t="s">
        <v>279</v>
      </c>
      <c r="DW11">
        <v>19</v>
      </c>
    </row>
    <row r="12" spans="1:127" x14ac:dyDescent="0.25">
      <c r="A12" s="1">
        <v>45989.457319074078</v>
      </c>
      <c r="B12" s="1">
        <v>45989.549978159717</v>
      </c>
      <c r="F12" t="s">
        <v>63</v>
      </c>
      <c r="H12" t="s">
        <v>85</v>
      </c>
      <c r="I12" s="1">
        <v>45989</v>
      </c>
      <c r="J12" t="s">
        <v>262</v>
      </c>
      <c r="K12" t="s">
        <v>280</v>
      </c>
      <c r="L12">
        <v>-2.3166479999999998</v>
      </c>
      <c r="M12">
        <v>37.850451999999997</v>
      </c>
      <c r="N12">
        <v>1030.2</v>
      </c>
      <c r="O12">
        <v>12.60000038146973</v>
      </c>
      <c r="Q12" t="s">
        <v>281</v>
      </c>
      <c r="R12" t="s">
        <v>64</v>
      </c>
      <c r="S12" t="s">
        <v>89</v>
      </c>
      <c r="U12">
        <v>2</v>
      </c>
      <c r="V12">
        <v>2</v>
      </c>
      <c r="W12">
        <v>727736312</v>
      </c>
      <c r="X12" t="s">
        <v>282</v>
      </c>
      <c r="Y12" t="s">
        <v>67</v>
      </c>
      <c r="AA12" t="s">
        <v>171</v>
      </c>
      <c r="AB12">
        <v>1</v>
      </c>
      <c r="AC12">
        <v>1</v>
      </c>
      <c r="AD12">
        <v>1</v>
      </c>
      <c r="AE12">
        <v>1</v>
      </c>
      <c r="AF12" t="s">
        <v>283</v>
      </c>
      <c r="AG12" t="s">
        <v>90</v>
      </c>
      <c r="AH12" t="s">
        <v>70</v>
      </c>
      <c r="AI12" t="s">
        <v>284</v>
      </c>
      <c r="AJ12">
        <v>1</v>
      </c>
      <c r="AK12">
        <v>0</v>
      </c>
      <c r="AL12">
        <v>0</v>
      </c>
      <c r="AM12">
        <v>1</v>
      </c>
      <c r="AN12">
        <v>0</v>
      </c>
      <c r="AP12" t="s">
        <v>91</v>
      </c>
      <c r="AQ12">
        <v>1</v>
      </c>
      <c r="AR12">
        <v>0</v>
      </c>
      <c r="AS12">
        <v>1</v>
      </c>
      <c r="AT12">
        <v>0</v>
      </c>
      <c r="AU12">
        <v>0</v>
      </c>
      <c r="AV12">
        <v>0</v>
      </c>
      <c r="AX12" t="s">
        <v>115</v>
      </c>
      <c r="AY12">
        <v>1</v>
      </c>
      <c r="AZ12">
        <v>1</v>
      </c>
      <c r="BA12">
        <v>1</v>
      </c>
      <c r="BB12">
        <v>1</v>
      </c>
      <c r="BC12">
        <v>1</v>
      </c>
      <c r="BD12">
        <v>1</v>
      </c>
      <c r="BE12">
        <v>1</v>
      </c>
      <c r="BF12">
        <v>1</v>
      </c>
      <c r="BG12">
        <v>0</v>
      </c>
      <c r="BJ12" t="s">
        <v>285</v>
      </c>
      <c r="BK12">
        <v>1</v>
      </c>
      <c r="BL12">
        <v>1</v>
      </c>
      <c r="BM12">
        <v>0</v>
      </c>
      <c r="BN12">
        <v>1</v>
      </c>
      <c r="BO12">
        <v>1</v>
      </c>
      <c r="BP12">
        <v>1</v>
      </c>
      <c r="BQ12">
        <v>0</v>
      </c>
      <c r="BR12">
        <v>0</v>
      </c>
      <c r="BS12">
        <v>0</v>
      </c>
      <c r="BT12">
        <v>0</v>
      </c>
      <c r="BU12">
        <v>0</v>
      </c>
      <c r="BV12">
        <v>0</v>
      </c>
      <c r="BW12">
        <v>0</v>
      </c>
      <c r="BX12">
        <v>0</v>
      </c>
      <c r="BY12">
        <v>1</v>
      </c>
      <c r="BZ12">
        <v>0</v>
      </c>
      <c r="CA12">
        <v>0</v>
      </c>
      <c r="CB12">
        <v>0</v>
      </c>
      <c r="CC12">
        <v>1</v>
      </c>
      <c r="CD12">
        <v>0</v>
      </c>
      <c r="CE12">
        <v>0</v>
      </c>
      <c r="CF12">
        <v>0</v>
      </c>
      <c r="CG12">
        <v>0</v>
      </c>
      <c r="CH12">
        <v>1</v>
      </c>
      <c r="CI12">
        <v>0</v>
      </c>
      <c r="CJ12">
        <v>0</v>
      </c>
      <c r="CK12">
        <v>1</v>
      </c>
      <c r="CL12">
        <v>1</v>
      </c>
      <c r="CM12">
        <v>0</v>
      </c>
      <c r="CO12" t="s">
        <v>98</v>
      </c>
      <c r="CP12" t="s">
        <v>286</v>
      </c>
      <c r="CQ12" t="s">
        <v>94</v>
      </c>
      <c r="CR12" t="s">
        <v>287</v>
      </c>
      <c r="CS12" t="s">
        <v>100</v>
      </c>
      <c r="CT12" t="s">
        <v>288</v>
      </c>
      <c r="CU12" t="s">
        <v>102</v>
      </c>
      <c r="CV12" t="s">
        <v>289</v>
      </c>
      <c r="CW12" t="s">
        <v>138</v>
      </c>
      <c r="CX12" t="s">
        <v>290</v>
      </c>
      <c r="CY12" t="s">
        <v>291</v>
      </c>
      <c r="CZ12" t="s">
        <v>292</v>
      </c>
      <c r="DB12" t="s">
        <v>74</v>
      </c>
      <c r="DC12" t="s">
        <v>80</v>
      </c>
      <c r="DD12">
        <v>0</v>
      </c>
      <c r="DE12">
        <v>0</v>
      </c>
      <c r="DF12">
        <v>1</v>
      </c>
      <c r="DG12">
        <v>0</v>
      </c>
      <c r="DH12">
        <v>0</v>
      </c>
      <c r="DJ12" t="s">
        <v>293</v>
      </c>
      <c r="DK12" t="s">
        <v>294</v>
      </c>
      <c r="DL12" t="s">
        <v>295</v>
      </c>
      <c r="DM12">
        <v>617080111</v>
      </c>
      <c r="DN12" t="s">
        <v>296</v>
      </c>
      <c r="DO12" s="1">
        <v>45989.425000000003</v>
      </c>
      <c r="DR12" t="s">
        <v>62</v>
      </c>
      <c r="DT12" t="s">
        <v>76</v>
      </c>
      <c r="DV12" t="s">
        <v>297</v>
      </c>
      <c r="DW12">
        <v>20</v>
      </c>
    </row>
    <row r="13" spans="1:127" x14ac:dyDescent="0.25">
      <c r="A13" s="1">
        <v>45989.549980694443</v>
      </c>
      <c r="B13" s="1">
        <v>45989.576959409722</v>
      </c>
      <c r="F13" t="s">
        <v>63</v>
      </c>
      <c r="H13" t="s">
        <v>85</v>
      </c>
      <c r="I13" s="1">
        <v>45989</v>
      </c>
      <c r="J13" t="s">
        <v>298</v>
      </c>
      <c r="K13" t="s">
        <v>299</v>
      </c>
      <c r="L13">
        <v>-2.3133729999999999</v>
      </c>
      <c r="M13">
        <v>37.847161999999997</v>
      </c>
      <c r="N13">
        <v>969.8</v>
      </c>
      <c r="O13">
        <v>10.10000038146973</v>
      </c>
      <c r="Q13" t="s">
        <v>300</v>
      </c>
      <c r="R13" t="s">
        <v>64</v>
      </c>
      <c r="S13" t="s">
        <v>190</v>
      </c>
      <c r="U13">
        <v>3</v>
      </c>
      <c r="V13">
        <v>2</v>
      </c>
      <c r="W13">
        <v>700029040</v>
      </c>
      <c r="X13" t="s">
        <v>282</v>
      </c>
      <c r="Y13" t="s">
        <v>67</v>
      </c>
      <c r="AA13" t="s">
        <v>211</v>
      </c>
      <c r="AB13">
        <v>1</v>
      </c>
      <c r="AC13">
        <v>1</v>
      </c>
      <c r="AD13">
        <v>0</v>
      </c>
      <c r="AE13">
        <v>0</v>
      </c>
      <c r="AG13" t="s">
        <v>90</v>
      </c>
      <c r="AH13" t="s">
        <v>82</v>
      </c>
      <c r="AP13" t="s">
        <v>83</v>
      </c>
      <c r="AQ13">
        <v>1</v>
      </c>
      <c r="AR13">
        <v>0</v>
      </c>
      <c r="AS13">
        <v>0</v>
      </c>
      <c r="AT13">
        <v>0</v>
      </c>
      <c r="AU13">
        <v>0</v>
      </c>
      <c r="AV13">
        <v>0</v>
      </c>
      <c r="AX13" t="s">
        <v>115</v>
      </c>
      <c r="AY13">
        <v>1</v>
      </c>
      <c r="AZ13">
        <v>1</v>
      </c>
      <c r="BA13">
        <v>1</v>
      </c>
      <c r="BB13">
        <v>1</v>
      </c>
      <c r="BC13">
        <v>1</v>
      </c>
      <c r="BD13">
        <v>1</v>
      </c>
      <c r="BE13">
        <v>1</v>
      </c>
      <c r="BF13">
        <v>1</v>
      </c>
      <c r="BG13">
        <v>0</v>
      </c>
      <c r="BJ13" t="s">
        <v>301</v>
      </c>
      <c r="BK13">
        <v>1</v>
      </c>
      <c r="BL13">
        <v>1</v>
      </c>
      <c r="BM13">
        <v>0</v>
      </c>
      <c r="BN13">
        <v>1</v>
      </c>
      <c r="BO13">
        <v>1</v>
      </c>
      <c r="BP13">
        <v>0</v>
      </c>
      <c r="BQ13">
        <v>0</v>
      </c>
      <c r="BR13">
        <v>0</v>
      </c>
      <c r="BS13">
        <v>0</v>
      </c>
      <c r="BT13">
        <v>0</v>
      </c>
      <c r="BU13">
        <v>0</v>
      </c>
      <c r="BV13">
        <v>0</v>
      </c>
      <c r="BW13">
        <v>0</v>
      </c>
      <c r="BX13">
        <v>1</v>
      </c>
      <c r="BY13">
        <v>0</v>
      </c>
      <c r="BZ13">
        <v>0</v>
      </c>
      <c r="CA13">
        <v>0</v>
      </c>
      <c r="CB13">
        <v>0</v>
      </c>
      <c r="CC13">
        <v>1</v>
      </c>
      <c r="CD13">
        <v>0</v>
      </c>
      <c r="CE13">
        <v>0</v>
      </c>
      <c r="CF13">
        <v>0</v>
      </c>
      <c r="CG13">
        <v>1</v>
      </c>
      <c r="CH13">
        <v>1</v>
      </c>
      <c r="CI13">
        <v>0</v>
      </c>
      <c r="CJ13">
        <v>0</v>
      </c>
      <c r="CK13">
        <v>1</v>
      </c>
      <c r="CL13">
        <v>1</v>
      </c>
      <c r="CM13">
        <v>0</v>
      </c>
      <c r="CO13" t="s">
        <v>98</v>
      </c>
      <c r="CP13" t="s">
        <v>302</v>
      </c>
      <c r="CQ13" t="s">
        <v>94</v>
      </c>
      <c r="CR13" t="s">
        <v>303</v>
      </c>
      <c r="CS13" t="s">
        <v>102</v>
      </c>
      <c r="CT13" t="s">
        <v>304</v>
      </c>
      <c r="CU13" t="s">
        <v>100</v>
      </c>
      <c r="CV13" t="s">
        <v>305</v>
      </c>
      <c r="CW13" t="s">
        <v>253</v>
      </c>
      <c r="CX13" t="s">
        <v>306</v>
      </c>
      <c r="CY13" t="s">
        <v>307</v>
      </c>
      <c r="CZ13" t="s">
        <v>308</v>
      </c>
      <c r="DB13" t="s">
        <v>74</v>
      </c>
      <c r="DC13" t="s">
        <v>80</v>
      </c>
      <c r="DD13">
        <v>0</v>
      </c>
      <c r="DE13">
        <v>0</v>
      </c>
      <c r="DF13">
        <v>1</v>
      </c>
      <c r="DG13">
        <v>0</v>
      </c>
      <c r="DH13">
        <v>0</v>
      </c>
      <c r="DJ13" t="s">
        <v>309</v>
      </c>
      <c r="DK13" t="s">
        <v>310</v>
      </c>
      <c r="DL13" t="s">
        <v>311</v>
      </c>
      <c r="DM13">
        <v>617114691</v>
      </c>
      <c r="DN13" t="s">
        <v>312</v>
      </c>
      <c r="DO13" s="1">
        <v>45989.451967592591</v>
      </c>
      <c r="DR13" t="s">
        <v>62</v>
      </c>
      <c r="DT13" t="s">
        <v>76</v>
      </c>
      <c r="DV13" t="s">
        <v>313</v>
      </c>
      <c r="DW13">
        <v>21</v>
      </c>
    </row>
    <row r="14" spans="1:127" x14ac:dyDescent="0.25">
      <c r="A14" s="1">
        <v>45999.562892013892</v>
      </c>
      <c r="B14" s="1">
        <v>45999.691610289352</v>
      </c>
      <c r="F14" t="s">
        <v>63</v>
      </c>
      <c r="H14" t="s">
        <v>85</v>
      </c>
      <c r="I14" s="1">
        <v>45999</v>
      </c>
      <c r="J14" t="s">
        <v>314</v>
      </c>
      <c r="K14" t="s">
        <v>315</v>
      </c>
      <c r="L14">
        <v>-2.3655949999999999</v>
      </c>
      <c r="M14">
        <v>37.878844999999998</v>
      </c>
      <c r="N14">
        <v>962.5</v>
      </c>
      <c r="O14">
        <v>9</v>
      </c>
      <c r="Q14" t="s">
        <v>316</v>
      </c>
      <c r="R14" t="s">
        <v>20</v>
      </c>
      <c r="S14" t="s">
        <v>317</v>
      </c>
      <c r="U14">
        <v>3</v>
      </c>
      <c r="V14">
        <v>1</v>
      </c>
      <c r="W14">
        <v>717543836</v>
      </c>
      <c r="X14" t="s">
        <v>318</v>
      </c>
      <c r="Y14" t="s">
        <v>67</v>
      </c>
      <c r="AA14" t="s">
        <v>319</v>
      </c>
      <c r="AB14">
        <v>0</v>
      </c>
      <c r="AC14">
        <v>0</v>
      </c>
      <c r="AD14">
        <v>0</v>
      </c>
      <c r="AE14">
        <v>1</v>
      </c>
      <c r="AF14" t="s">
        <v>318</v>
      </c>
      <c r="AG14" t="s">
        <v>69</v>
      </c>
      <c r="AH14" t="s">
        <v>70</v>
      </c>
      <c r="AI14" t="s">
        <v>320</v>
      </c>
      <c r="AJ14">
        <v>1</v>
      </c>
      <c r="AK14">
        <v>0</v>
      </c>
      <c r="AL14">
        <v>0</v>
      </c>
      <c r="AM14">
        <v>1</v>
      </c>
      <c r="AN14">
        <v>1</v>
      </c>
      <c r="AO14">
        <v>4</v>
      </c>
      <c r="AP14" t="s">
        <v>72</v>
      </c>
      <c r="AQ14">
        <v>1</v>
      </c>
      <c r="AR14">
        <v>0</v>
      </c>
      <c r="AS14">
        <v>0</v>
      </c>
      <c r="AT14">
        <v>0</v>
      </c>
      <c r="AU14">
        <v>1</v>
      </c>
      <c r="AV14">
        <v>0</v>
      </c>
      <c r="AX14" t="s">
        <v>321</v>
      </c>
      <c r="AY14">
        <v>1</v>
      </c>
      <c r="AZ14">
        <v>0</v>
      </c>
      <c r="BA14">
        <v>0</v>
      </c>
      <c r="BB14">
        <v>1</v>
      </c>
      <c r="BC14">
        <v>0</v>
      </c>
      <c r="BD14">
        <v>0</v>
      </c>
      <c r="BE14">
        <v>0</v>
      </c>
      <c r="BF14">
        <v>1</v>
      </c>
      <c r="BG14">
        <v>0</v>
      </c>
      <c r="BJ14" t="s">
        <v>322</v>
      </c>
      <c r="BK14">
        <v>0</v>
      </c>
      <c r="BL14">
        <v>0</v>
      </c>
      <c r="BM14">
        <v>0</v>
      </c>
      <c r="BN14">
        <v>0</v>
      </c>
      <c r="BO14">
        <v>0</v>
      </c>
      <c r="BP14">
        <v>0</v>
      </c>
      <c r="BQ14">
        <v>0</v>
      </c>
      <c r="BR14">
        <v>0</v>
      </c>
      <c r="BS14">
        <v>0</v>
      </c>
      <c r="BT14">
        <v>0</v>
      </c>
      <c r="BU14">
        <v>0</v>
      </c>
      <c r="BV14">
        <v>0</v>
      </c>
      <c r="BW14">
        <v>0</v>
      </c>
      <c r="BX14">
        <v>0</v>
      </c>
      <c r="BY14">
        <v>0</v>
      </c>
      <c r="BZ14">
        <v>0</v>
      </c>
      <c r="CA14">
        <v>0</v>
      </c>
      <c r="CB14">
        <v>0</v>
      </c>
      <c r="CC14">
        <v>1</v>
      </c>
      <c r="CD14">
        <v>1</v>
      </c>
      <c r="CE14">
        <v>0</v>
      </c>
      <c r="CF14">
        <v>0</v>
      </c>
      <c r="CG14">
        <v>0</v>
      </c>
      <c r="CH14">
        <v>0</v>
      </c>
      <c r="CI14">
        <v>0</v>
      </c>
      <c r="CJ14">
        <v>0</v>
      </c>
      <c r="CK14">
        <v>1</v>
      </c>
      <c r="CL14">
        <v>1</v>
      </c>
      <c r="CM14">
        <v>0</v>
      </c>
      <c r="CO14" t="s">
        <v>94</v>
      </c>
      <c r="CP14" t="s">
        <v>323</v>
      </c>
      <c r="CQ14" t="s">
        <v>324</v>
      </c>
      <c r="CR14" t="s">
        <v>325</v>
      </c>
      <c r="CS14" t="s">
        <v>326</v>
      </c>
      <c r="CT14" t="s">
        <v>327</v>
      </c>
      <c r="CU14" t="s">
        <v>328</v>
      </c>
      <c r="CV14" t="s">
        <v>329</v>
      </c>
      <c r="CW14" t="s">
        <v>253</v>
      </c>
      <c r="CX14" t="s">
        <v>330</v>
      </c>
      <c r="CY14" t="s">
        <v>331</v>
      </c>
      <c r="CZ14" t="s">
        <v>332</v>
      </c>
      <c r="DB14" t="s">
        <v>74</v>
      </c>
      <c r="DC14" t="s">
        <v>75</v>
      </c>
      <c r="DD14">
        <v>1</v>
      </c>
      <c r="DE14">
        <v>1</v>
      </c>
      <c r="DF14">
        <v>0</v>
      </c>
      <c r="DG14">
        <v>0</v>
      </c>
      <c r="DH14">
        <v>0</v>
      </c>
      <c r="DJ14" t="s">
        <v>333</v>
      </c>
      <c r="DK14" t="s">
        <v>94</v>
      </c>
      <c r="DL14" t="s">
        <v>334</v>
      </c>
      <c r="DM14">
        <v>624999994</v>
      </c>
      <c r="DN14" t="s">
        <v>335</v>
      </c>
      <c r="DO14" s="1">
        <v>45999.566608796304</v>
      </c>
      <c r="DR14" t="s">
        <v>62</v>
      </c>
      <c r="DT14" t="s">
        <v>76</v>
      </c>
      <c r="DV14" t="s">
        <v>336</v>
      </c>
      <c r="DW14">
        <v>23</v>
      </c>
    </row>
    <row r="15" spans="1:127" x14ac:dyDescent="0.25">
      <c r="A15" s="1">
        <v>45987.483140046294</v>
      </c>
      <c r="B15" s="1">
        <v>46005.275147916669</v>
      </c>
      <c r="F15" t="s">
        <v>63</v>
      </c>
      <c r="H15" t="s">
        <v>85</v>
      </c>
      <c r="I15" s="1">
        <v>45987</v>
      </c>
      <c r="J15" t="s">
        <v>337</v>
      </c>
      <c r="K15" t="s">
        <v>338</v>
      </c>
      <c r="L15">
        <v>-2.340398</v>
      </c>
      <c r="M15">
        <v>37.876502000000002</v>
      </c>
      <c r="N15">
        <v>997.6</v>
      </c>
      <c r="O15">
        <v>8.8999996185302734</v>
      </c>
      <c r="Q15" t="s">
        <v>339</v>
      </c>
      <c r="R15" t="s">
        <v>64</v>
      </c>
      <c r="S15" t="s">
        <v>317</v>
      </c>
      <c r="U15">
        <v>2</v>
      </c>
      <c r="V15">
        <v>3</v>
      </c>
      <c r="W15">
        <v>723964156</v>
      </c>
      <c r="X15" t="s">
        <v>340</v>
      </c>
      <c r="Y15" t="s">
        <v>67</v>
      </c>
      <c r="AA15" t="s">
        <v>319</v>
      </c>
      <c r="AB15">
        <v>0</v>
      </c>
      <c r="AC15">
        <v>0</v>
      </c>
      <c r="AD15">
        <v>0</v>
      </c>
      <c r="AE15">
        <v>1</v>
      </c>
      <c r="AF15" t="s">
        <v>341</v>
      </c>
      <c r="AG15" t="s">
        <v>90</v>
      </c>
      <c r="AH15" t="s">
        <v>82</v>
      </c>
      <c r="AP15" t="s">
        <v>342</v>
      </c>
      <c r="AQ15">
        <v>1</v>
      </c>
      <c r="AR15">
        <v>0</v>
      </c>
      <c r="AS15">
        <v>0</v>
      </c>
      <c r="AT15">
        <v>0</v>
      </c>
      <c r="AU15">
        <v>0</v>
      </c>
      <c r="AV15">
        <v>1</v>
      </c>
      <c r="AW15" t="s">
        <v>343</v>
      </c>
      <c r="AX15" t="s">
        <v>115</v>
      </c>
      <c r="AY15">
        <v>1</v>
      </c>
      <c r="AZ15">
        <v>1</v>
      </c>
      <c r="BA15">
        <v>1</v>
      </c>
      <c r="BB15">
        <v>1</v>
      </c>
      <c r="BC15">
        <v>1</v>
      </c>
      <c r="BD15">
        <v>1</v>
      </c>
      <c r="BE15">
        <v>1</v>
      </c>
      <c r="BF15">
        <v>1</v>
      </c>
      <c r="BG15">
        <v>0</v>
      </c>
      <c r="BJ15" t="s">
        <v>212</v>
      </c>
      <c r="BK15">
        <v>0</v>
      </c>
      <c r="BL15">
        <v>1</v>
      </c>
      <c r="BM15">
        <v>0</v>
      </c>
      <c r="BN15">
        <v>1</v>
      </c>
      <c r="BO15">
        <v>0</v>
      </c>
      <c r="BP15">
        <v>0</v>
      </c>
      <c r="BQ15">
        <v>1</v>
      </c>
      <c r="BR15">
        <v>0</v>
      </c>
      <c r="BS15">
        <v>0</v>
      </c>
      <c r="BT15">
        <v>0</v>
      </c>
      <c r="BU15">
        <v>0</v>
      </c>
      <c r="BV15">
        <v>0</v>
      </c>
      <c r="BW15">
        <v>1</v>
      </c>
      <c r="BX15">
        <v>1</v>
      </c>
      <c r="BY15">
        <v>0</v>
      </c>
      <c r="BZ15">
        <v>0</v>
      </c>
      <c r="CA15">
        <v>0</v>
      </c>
      <c r="CB15">
        <v>0</v>
      </c>
      <c r="CC15">
        <v>1</v>
      </c>
      <c r="CD15">
        <v>1</v>
      </c>
      <c r="CE15">
        <v>0</v>
      </c>
      <c r="CF15">
        <v>0</v>
      </c>
      <c r="CG15">
        <v>0</v>
      </c>
      <c r="CH15">
        <v>1</v>
      </c>
      <c r="CI15">
        <v>0</v>
      </c>
      <c r="CJ15">
        <v>0</v>
      </c>
      <c r="CK15">
        <v>1</v>
      </c>
      <c r="CL15">
        <v>1</v>
      </c>
      <c r="CM15">
        <v>0</v>
      </c>
      <c r="CO15" t="s">
        <v>98</v>
      </c>
      <c r="CP15" t="s">
        <v>344</v>
      </c>
      <c r="CQ15" t="s">
        <v>100</v>
      </c>
      <c r="CR15" t="s">
        <v>345</v>
      </c>
      <c r="CS15" t="s">
        <v>94</v>
      </c>
      <c r="CT15" t="s">
        <v>346</v>
      </c>
      <c r="CU15" t="s">
        <v>102</v>
      </c>
      <c r="CV15" t="s">
        <v>347</v>
      </c>
      <c r="CW15" t="s">
        <v>178</v>
      </c>
      <c r="CX15" t="s">
        <v>348</v>
      </c>
      <c r="CY15" t="s">
        <v>349</v>
      </c>
      <c r="CZ15" t="s">
        <v>350</v>
      </c>
      <c r="DB15" t="s">
        <v>74</v>
      </c>
      <c r="DC15" t="s">
        <v>203</v>
      </c>
      <c r="DD15">
        <v>0</v>
      </c>
      <c r="DE15">
        <v>1</v>
      </c>
      <c r="DF15">
        <v>0</v>
      </c>
      <c r="DG15">
        <v>0</v>
      </c>
      <c r="DH15">
        <v>0</v>
      </c>
      <c r="DJ15" t="s">
        <v>351</v>
      </c>
      <c r="DK15" t="s">
        <v>352</v>
      </c>
      <c r="DL15" t="s">
        <v>353</v>
      </c>
      <c r="DM15">
        <v>629516207</v>
      </c>
      <c r="DN15" t="s">
        <v>354</v>
      </c>
      <c r="DO15" s="1">
        <v>46005.15016203704</v>
      </c>
      <c r="DR15" t="s">
        <v>62</v>
      </c>
      <c r="DT15" t="s">
        <v>76</v>
      </c>
      <c r="DV15" t="s">
        <v>355</v>
      </c>
      <c r="DW15">
        <v>26</v>
      </c>
    </row>
    <row r="16" spans="1:127" x14ac:dyDescent="0.25">
      <c r="A16" s="1">
        <v>45987.673788263892</v>
      </c>
      <c r="B16" s="1">
        <v>46005.277320243047</v>
      </c>
      <c r="F16" t="s">
        <v>63</v>
      </c>
      <c r="H16" t="s">
        <v>85</v>
      </c>
      <c r="I16" s="1">
        <v>45987</v>
      </c>
      <c r="J16" t="s">
        <v>167</v>
      </c>
      <c r="K16" t="s">
        <v>356</v>
      </c>
      <c r="L16">
        <v>-2.3491949999999999</v>
      </c>
      <c r="M16">
        <v>37.879190000000001</v>
      </c>
      <c r="N16">
        <v>998.7</v>
      </c>
      <c r="O16">
        <v>6.3000001907348633</v>
      </c>
      <c r="Q16" t="s">
        <v>357</v>
      </c>
      <c r="R16" t="s">
        <v>20</v>
      </c>
      <c r="S16" t="s">
        <v>317</v>
      </c>
      <c r="U16">
        <v>3</v>
      </c>
      <c r="V16">
        <v>6</v>
      </c>
      <c r="W16">
        <v>712601618</v>
      </c>
      <c r="X16" t="s">
        <v>150</v>
      </c>
      <c r="Y16" t="s">
        <v>247</v>
      </c>
      <c r="AA16" t="s">
        <v>68</v>
      </c>
      <c r="AB16">
        <v>1</v>
      </c>
      <c r="AC16">
        <v>1</v>
      </c>
      <c r="AD16">
        <v>1</v>
      </c>
      <c r="AE16">
        <v>0</v>
      </c>
      <c r="AG16" t="s">
        <v>69</v>
      </c>
      <c r="AH16" t="s">
        <v>70</v>
      </c>
      <c r="AI16" t="s">
        <v>172</v>
      </c>
      <c r="AJ16">
        <v>1</v>
      </c>
      <c r="AK16">
        <v>1</v>
      </c>
      <c r="AL16">
        <v>1</v>
      </c>
      <c r="AM16">
        <v>1</v>
      </c>
      <c r="AN16">
        <v>0</v>
      </c>
      <c r="AO16">
        <v>4</v>
      </c>
      <c r="AP16" t="s">
        <v>72</v>
      </c>
      <c r="AQ16">
        <v>1</v>
      </c>
      <c r="AR16">
        <v>0</v>
      </c>
      <c r="AS16">
        <v>0</v>
      </c>
      <c r="AT16">
        <v>0</v>
      </c>
      <c r="AU16">
        <v>1</v>
      </c>
      <c r="AV16">
        <v>0</v>
      </c>
      <c r="AX16" t="s">
        <v>115</v>
      </c>
      <c r="AY16">
        <v>1</v>
      </c>
      <c r="AZ16">
        <v>1</v>
      </c>
      <c r="BA16">
        <v>1</v>
      </c>
      <c r="BB16">
        <v>1</v>
      </c>
      <c r="BC16">
        <v>1</v>
      </c>
      <c r="BD16">
        <v>1</v>
      </c>
      <c r="BE16">
        <v>1</v>
      </c>
      <c r="BF16">
        <v>1</v>
      </c>
      <c r="BG16">
        <v>0</v>
      </c>
      <c r="BJ16" t="s">
        <v>358</v>
      </c>
      <c r="BK16">
        <v>1</v>
      </c>
      <c r="BL16">
        <v>1</v>
      </c>
      <c r="BM16">
        <v>0</v>
      </c>
      <c r="BN16">
        <v>1</v>
      </c>
      <c r="BO16">
        <v>1</v>
      </c>
      <c r="BP16">
        <v>1</v>
      </c>
      <c r="BQ16">
        <v>1</v>
      </c>
      <c r="BR16">
        <v>0</v>
      </c>
      <c r="BS16">
        <v>0</v>
      </c>
      <c r="BT16">
        <v>0</v>
      </c>
      <c r="BU16">
        <v>0</v>
      </c>
      <c r="BV16">
        <v>0</v>
      </c>
      <c r="BW16">
        <v>0</v>
      </c>
      <c r="BX16">
        <v>0</v>
      </c>
      <c r="BY16">
        <v>1</v>
      </c>
      <c r="BZ16">
        <v>0</v>
      </c>
      <c r="CA16">
        <v>0</v>
      </c>
      <c r="CB16">
        <v>0</v>
      </c>
      <c r="CC16">
        <v>1</v>
      </c>
      <c r="CD16">
        <v>0</v>
      </c>
      <c r="CE16">
        <v>0</v>
      </c>
      <c r="CF16">
        <v>0</v>
      </c>
      <c r="CG16">
        <v>0</v>
      </c>
      <c r="CH16">
        <v>0</v>
      </c>
      <c r="CI16">
        <v>0</v>
      </c>
      <c r="CJ16">
        <v>0</v>
      </c>
      <c r="CK16">
        <v>1</v>
      </c>
      <c r="CL16">
        <v>1</v>
      </c>
      <c r="CM16">
        <v>0</v>
      </c>
      <c r="CO16" t="s">
        <v>94</v>
      </c>
      <c r="CP16" t="s">
        <v>359</v>
      </c>
      <c r="CQ16" t="s">
        <v>98</v>
      </c>
      <c r="CR16" t="s">
        <v>360</v>
      </c>
      <c r="CS16" t="s">
        <v>138</v>
      </c>
      <c r="CT16" t="s">
        <v>361</v>
      </c>
      <c r="CU16" t="s">
        <v>100</v>
      </c>
      <c r="CV16" t="s">
        <v>362</v>
      </c>
      <c r="CW16" t="s">
        <v>102</v>
      </c>
      <c r="CX16" t="s">
        <v>363</v>
      </c>
      <c r="CY16" t="s">
        <v>364</v>
      </c>
      <c r="CZ16" t="s">
        <v>365</v>
      </c>
      <c r="DB16" t="s">
        <v>74</v>
      </c>
      <c r="DC16" t="s">
        <v>84</v>
      </c>
      <c r="DD16">
        <v>1</v>
      </c>
      <c r="DE16">
        <v>0</v>
      </c>
      <c r="DF16">
        <v>0</v>
      </c>
      <c r="DG16">
        <v>0</v>
      </c>
      <c r="DH16">
        <v>0</v>
      </c>
      <c r="DJ16" t="s">
        <v>366</v>
      </c>
      <c r="DK16" t="s">
        <v>367</v>
      </c>
      <c r="DL16" t="s">
        <v>368</v>
      </c>
      <c r="DM16">
        <v>629516682</v>
      </c>
      <c r="DN16" t="s">
        <v>369</v>
      </c>
      <c r="DO16" s="1">
        <v>46005.152349537027</v>
      </c>
      <c r="DR16" t="s">
        <v>62</v>
      </c>
      <c r="DT16" t="s">
        <v>76</v>
      </c>
      <c r="DV16" t="s">
        <v>370</v>
      </c>
      <c r="DW16">
        <v>27</v>
      </c>
    </row>
    <row r="17" spans="1:127" x14ac:dyDescent="0.25">
      <c r="A17" s="1">
        <v>45988.309182916673</v>
      </c>
      <c r="B17" s="1">
        <v>46005.278093912028</v>
      </c>
      <c r="F17" t="s">
        <v>63</v>
      </c>
      <c r="H17" t="s">
        <v>85</v>
      </c>
      <c r="I17" s="1">
        <v>45988</v>
      </c>
      <c r="J17" t="s">
        <v>371</v>
      </c>
      <c r="K17" t="s">
        <v>372</v>
      </c>
      <c r="L17">
        <v>-2.3589769999999999</v>
      </c>
      <c r="M17">
        <v>37.879545</v>
      </c>
      <c r="N17">
        <v>984.1</v>
      </c>
      <c r="O17">
        <v>5.4000000953674316</v>
      </c>
      <c r="Q17" t="s">
        <v>373</v>
      </c>
      <c r="R17" t="s">
        <v>64</v>
      </c>
      <c r="S17" t="s">
        <v>77</v>
      </c>
      <c r="U17">
        <v>2</v>
      </c>
      <c r="V17">
        <v>4</v>
      </c>
      <c r="W17">
        <v>721332729</v>
      </c>
      <c r="X17" t="s">
        <v>374</v>
      </c>
      <c r="Y17" t="s">
        <v>67</v>
      </c>
      <c r="AA17" t="s">
        <v>171</v>
      </c>
      <c r="AB17">
        <v>1</v>
      </c>
      <c r="AC17">
        <v>1</v>
      </c>
      <c r="AD17">
        <v>1</v>
      </c>
      <c r="AE17">
        <v>1</v>
      </c>
      <c r="AF17" t="s">
        <v>375</v>
      </c>
      <c r="AG17" t="s">
        <v>69</v>
      </c>
      <c r="AH17" t="s">
        <v>70</v>
      </c>
      <c r="AI17" t="s">
        <v>153</v>
      </c>
      <c r="AJ17">
        <v>1</v>
      </c>
      <c r="AK17">
        <v>1</v>
      </c>
      <c r="AL17">
        <v>1</v>
      </c>
      <c r="AM17">
        <v>1</v>
      </c>
      <c r="AN17">
        <v>1</v>
      </c>
      <c r="AO17">
        <v>10</v>
      </c>
      <c r="AP17" t="s">
        <v>91</v>
      </c>
      <c r="AQ17">
        <v>1</v>
      </c>
      <c r="AR17">
        <v>0</v>
      </c>
      <c r="AS17">
        <v>1</v>
      </c>
      <c r="AT17">
        <v>0</v>
      </c>
      <c r="AU17">
        <v>0</v>
      </c>
      <c r="AV17">
        <v>0</v>
      </c>
      <c r="AX17" t="s">
        <v>115</v>
      </c>
      <c r="AY17">
        <v>1</v>
      </c>
      <c r="AZ17">
        <v>1</v>
      </c>
      <c r="BA17">
        <v>1</v>
      </c>
      <c r="BB17">
        <v>1</v>
      </c>
      <c r="BC17">
        <v>1</v>
      </c>
      <c r="BD17">
        <v>1</v>
      </c>
      <c r="BE17">
        <v>1</v>
      </c>
      <c r="BF17">
        <v>1</v>
      </c>
      <c r="BG17">
        <v>0</v>
      </c>
      <c r="BJ17" t="s">
        <v>376</v>
      </c>
      <c r="BK17">
        <v>1</v>
      </c>
      <c r="BL17">
        <v>1</v>
      </c>
      <c r="BM17">
        <v>0</v>
      </c>
      <c r="BN17">
        <v>1</v>
      </c>
      <c r="BO17">
        <v>1</v>
      </c>
      <c r="BP17">
        <v>0</v>
      </c>
      <c r="BQ17">
        <v>0</v>
      </c>
      <c r="BR17">
        <v>0</v>
      </c>
      <c r="BS17">
        <v>0</v>
      </c>
      <c r="BT17">
        <v>0</v>
      </c>
      <c r="BU17">
        <v>0</v>
      </c>
      <c r="BV17">
        <v>0</v>
      </c>
      <c r="BW17">
        <v>1</v>
      </c>
      <c r="BX17">
        <v>1</v>
      </c>
      <c r="BY17">
        <v>1</v>
      </c>
      <c r="BZ17">
        <v>0</v>
      </c>
      <c r="CA17">
        <v>0</v>
      </c>
      <c r="CB17">
        <v>0</v>
      </c>
      <c r="CC17">
        <v>1</v>
      </c>
      <c r="CD17">
        <v>1</v>
      </c>
      <c r="CE17">
        <v>0</v>
      </c>
      <c r="CF17">
        <v>0</v>
      </c>
      <c r="CG17">
        <v>0</v>
      </c>
      <c r="CH17">
        <v>0</v>
      </c>
      <c r="CI17">
        <v>0</v>
      </c>
      <c r="CJ17">
        <v>0</v>
      </c>
      <c r="CK17">
        <v>0</v>
      </c>
      <c r="CL17">
        <v>1</v>
      </c>
      <c r="CM17">
        <v>0</v>
      </c>
      <c r="CO17" t="s">
        <v>94</v>
      </c>
      <c r="CP17" t="s">
        <v>377</v>
      </c>
      <c r="CQ17" t="s">
        <v>98</v>
      </c>
      <c r="CR17" t="s">
        <v>378</v>
      </c>
      <c r="CS17" t="s">
        <v>100</v>
      </c>
      <c r="CT17" t="s">
        <v>379</v>
      </c>
      <c r="CU17" t="s">
        <v>236</v>
      </c>
      <c r="CV17" t="s">
        <v>380</v>
      </c>
      <c r="CW17" t="s">
        <v>253</v>
      </c>
      <c r="CX17" t="s">
        <v>381</v>
      </c>
      <c r="CY17" t="s">
        <v>382</v>
      </c>
      <c r="CZ17" t="s">
        <v>383</v>
      </c>
      <c r="DB17" t="s">
        <v>74</v>
      </c>
      <c r="DC17" t="s">
        <v>84</v>
      </c>
      <c r="DD17">
        <v>1</v>
      </c>
      <c r="DE17">
        <v>0</v>
      </c>
      <c r="DF17">
        <v>0</v>
      </c>
      <c r="DG17">
        <v>0</v>
      </c>
      <c r="DH17">
        <v>0</v>
      </c>
      <c r="DJ17" t="s">
        <v>384</v>
      </c>
      <c r="DK17" t="s">
        <v>385</v>
      </c>
      <c r="DL17" t="s">
        <v>386</v>
      </c>
      <c r="DM17">
        <v>629516839</v>
      </c>
      <c r="DN17" t="s">
        <v>387</v>
      </c>
      <c r="DO17" s="1">
        <v>46005.153113425928</v>
      </c>
      <c r="DR17" t="s">
        <v>62</v>
      </c>
      <c r="DT17" t="s">
        <v>76</v>
      </c>
      <c r="DV17" t="s">
        <v>388</v>
      </c>
      <c r="DW17">
        <v>28</v>
      </c>
    </row>
    <row r="18" spans="1:127" x14ac:dyDescent="0.25">
      <c r="A18" s="1">
        <v>45988.429923611111</v>
      </c>
      <c r="B18" s="1">
        <v>46005.279109201387</v>
      </c>
      <c r="F18" t="s">
        <v>63</v>
      </c>
      <c r="H18" t="s">
        <v>85</v>
      </c>
      <c r="I18" s="1">
        <v>45988</v>
      </c>
      <c r="J18" t="s">
        <v>389</v>
      </c>
      <c r="K18" t="s">
        <v>390</v>
      </c>
      <c r="L18">
        <v>-2.3592819999999999</v>
      </c>
      <c r="M18">
        <v>37.901086999999997</v>
      </c>
      <c r="N18">
        <v>983.1</v>
      </c>
      <c r="O18">
        <v>7.75</v>
      </c>
      <c r="Q18" t="s">
        <v>391</v>
      </c>
      <c r="R18" t="s">
        <v>20</v>
      </c>
      <c r="S18" t="s">
        <v>89</v>
      </c>
      <c r="U18">
        <v>2</v>
      </c>
      <c r="V18">
        <v>3</v>
      </c>
      <c r="W18">
        <v>728348625</v>
      </c>
      <c r="X18" t="s">
        <v>150</v>
      </c>
      <c r="Y18" t="s">
        <v>247</v>
      </c>
      <c r="AA18" t="s">
        <v>68</v>
      </c>
      <c r="AB18">
        <v>1</v>
      </c>
      <c r="AC18">
        <v>1</v>
      </c>
      <c r="AD18">
        <v>1</v>
      </c>
      <c r="AE18">
        <v>0</v>
      </c>
      <c r="AG18" t="s">
        <v>90</v>
      </c>
      <c r="AH18" t="s">
        <v>70</v>
      </c>
      <c r="AI18" t="s">
        <v>153</v>
      </c>
      <c r="AJ18">
        <v>1</v>
      </c>
      <c r="AK18">
        <v>1</v>
      </c>
      <c r="AL18">
        <v>1</v>
      </c>
      <c r="AM18">
        <v>1</v>
      </c>
      <c r="AN18">
        <v>1</v>
      </c>
      <c r="AP18" t="s">
        <v>392</v>
      </c>
      <c r="AQ18">
        <v>1</v>
      </c>
      <c r="AR18">
        <v>0</v>
      </c>
      <c r="AS18">
        <v>1</v>
      </c>
      <c r="AT18">
        <v>0</v>
      </c>
      <c r="AU18">
        <v>1</v>
      </c>
      <c r="AV18">
        <v>0</v>
      </c>
      <c r="AX18" t="s">
        <v>115</v>
      </c>
      <c r="AY18">
        <v>1</v>
      </c>
      <c r="AZ18">
        <v>1</v>
      </c>
      <c r="BA18">
        <v>1</v>
      </c>
      <c r="BB18">
        <v>1</v>
      </c>
      <c r="BC18">
        <v>1</v>
      </c>
      <c r="BD18">
        <v>1</v>
      </c>
      <c r="BE18">
        <v>1</v>
      </c>
      <c r="BF18">
        <v>1</v>
      </c>
      <c r="BG18">
        <v>0</v>
      </c>
      <c r="BJ18" t="s">
        <v>393</v>
      </c>
      <c r="BK18">
        <v>0</v>
      </c>
      <c r="BL18">
        <v>1</v>
      </c>
      <c r="BM18">
        <v>0</v>
      </c>
      <c r="BN18">
        <v>1</v>
      </c>
      <c r="BO18">
        <v>1</v>
      </c>
      <c r="BP18">
        <v>1</v>
      </c>
      <c r="BQ18">
        <v>0</v>
      </c>
      <c r="BR18">
        <v>0</v>
      </c>
      <c r="BS18">
        <v>0</v>
      </c>
      <c r="BT18">
        <v>0</v>
      </c>
      <c r="BU18">
        <v>0</v>
      </c>
      <c r="BV18">
        <v>0</v>
      </c>
      <c r="BW18">
        <v>0</v>
      </c>
      <c r="BX18">
        <v>1</v>
      </c>
      <c r="BY18">
        <v>0</v>
      </c>
      <c r="BZ18">
        <v>0</v>
      </c>
      <c r="CA18">
        <v>0</v>
      </c>
      <c r="CB18">
        <v>0</v>
      </c>
      <c r="CC18">
        <v>1</v>
      </c>
      <c r="CD18">
        <v>1</v>
      </c>
      <c r="CE18">
        <v>0</v>
      </c>
      <c r="CF18">
        <v>0</v>
      </c>
      <c r="CG18">
        <v>0</v>
      </c>
      <c r="CH18">
        <v>1</v>
      </c>
      <c r="CI18">
        <v>0</v>
      </c>
      <c r="CJ18">
        <v>0</v>
      </c>
      <c r="CK18">
        <v>1</v>
      </c>
      <c r="CL18">
        <v>1</v>
      </c>
      <c r="CM18">
        <v>0</v>
      </c>
      <c r="CO18" t="s">
        <v>98</v>
      </c>
      <c r="CP18" t="s">
        <v>394</v>
      </c>
      <c r="CQ18" t="s">
        <v>100</v>
      </c>
      <c r="CR18" t="s">
        <v>395</v>
      </c>
      <c r="CS18" t="s">
        <v>94</v>
      </c>
      <c r="CT18" t="s">
        <v>396</v>
      </c>
      <c r="CU18" t="s">
        <v>102</v>
      </c>
      <c r="CV18" t="s">
        <v>397</v>
      </c>
      <c r="CW18" t="s">
        <v>178</v>
      </c>
      <c r="CX18" t="s">
        <v>398</v>
      </c>
      <c r="CY18" t="s">
        <v>399</v>
      </c>
      <c r="CZ18" t="s">
        <v>400</v>
      </c>
      <c r="DB18" t="s">
        <v>74</v>
      </c>
      <c r="DC18" t="s">
        <v>80</v>
      </c>
      <c r="DD18">
        <v>0</v>
      </c>
      <c r="DE18">
        <v>0</v>
      </c>
      <c r="DF18">
        <v>1</v>
      </c>
      <c r="DG18">
        <v>0</v>
      </c>
      <c r="DH18">
        <v>0</v>
      </c>
      <c r="DJ18" t="s">
        <v>401</v>
      </c>
      <c r="DK18" t="s">
        <v>402</v>
      </c>
      <c r="DL18" t="s">
        <v>403</v>
      </c>
      <c r="DM18">
        <v>629517211</v>
      </c>
      <c r="DN18" t="s">
        <v>404</v>
      </c>
      <c r="DO18" s="1">
        <v>46005.154131944437</v>
      </c>
      <c r="DR18" t="s">
        <v>62</v>
      </c>
      <c r="DT18" t="s">
        <v>76</v>
      </c>
      <c r="DV18" t="s">
        <v>405</v>
      </c>
      <c r="DW18">
        <v>29</v>
      </c>
    </row>
    <row r="19" spans="1:127" x14ac:dyDescent="0.25">
      <c r="A19" s="1">
        <v>45988.490608055552</v>
      </c>
      <c r="B19" s="1">
        <v>46005.280807847223</v>
      </c>
      <c r="F19" t="s">
        <v>63</v>
      </c>
      <c r="H19" t="s">
        <v>85</v>
      </c>
      <c r="I19" s="1">
        <v>45988</v>
      </c>
      <c r="J19" t="s">
        <v>406</v>
      </c>
      <c r="K19" t="s">
        <v>407</v>
      </c>
      <c r="L19">
        <v>-2.3527770000000001</v>
      </c>
      <c r="M19">
        <v>37.903385</v>
      </c>
      <c r="N19">
        <v>986</v>
      </c>
      <c r="O19">
        <v>10.30000019073486</v>
      </c>
      <c r="Q19" t="s">
        <v>408</v>
      </c>
      <c r="R19" t="s">
        <v>64</v>
      </c>
      <c r="S19" t="s">
        <v>409</v>
      </c>
      <c r="U19">
        <v>2</v>
      </c>
      <c r="V19">
        <v>3</v>
      </c>
      <c r="W19">
        <v>701572148</v>
      </c>
      <c r="X19" t="s">
        <v>282</v>
      </c>
      <c r="Y19" t="s">
        <v>67</v>
      </c>
      <c r="AA19" t="s">
        <v>68</v>
      </c>
      <c r="AB19">
        <v>1</v>
      </c>
      <c r="AC19">
        <v>1</v>
      </c>
      <c r="AD19">
        <v>1</v>
      </c>
      <c r="AE19">
        <v>0</v>
      </c>
      <c r="AG19" t="s">
        <v>90</v>
      </c>
      <c r="AH19" t="s">
        <v>70</v>
      </c>
      <c r="AI19" t="s">
        <v>113</v>
      </c>
      <c r="AJ19">
        <v>1</v>
      </c>
      <c r="AK19">
        <v>0</v>
      </c>
      <c r="AL19">
        <v>1</v>
      </c>
      <c r="AM19">
        <v>1</v>
      </c>
      <c r="AN19">
        <v>0</v>
      </c>
      <c r="AP19" t="s">
        <v>392</v>
      </c>
      <c r="AQ19">
        <v>1</v>
      </c>
      <c r="AR19">
        <v>0</v>
      </c>
      <c r="AS19">
        <v>1</v>
      </c>
      <c r="AT19">
        <v>0</v>
      </c>
      <c r="AU19">
        <v>1</v>
      </c>
      <c r="AV19">
        <v>0</v>
      </c>
      <c r="AX19" t="s">
        <v>115</v>
      </c>
      <c r="AY19">
        <v>1</v>
      </c>
      <c r="AZ19">
        <v>1</v>
      </c>
      <c r="BA19">
        <v>1</v>
      </c>
      <c r="BB19">
        <v>1</v>
      </c>
      <c r="BC19">
        <v>1</v>
      </c>
      <c r="BD19">
        <v>1</v>
      </c>
      <c r="BE19">
        <v>1</v>
      </c>
      <c r="BF19">
        <v>1</v>
      </c>
      <c r="BG19">
        <v>0</v>
      </c>
      <c r="BJ19" t="s">
        <v>410</v>
      </c>
      <c r="BK19">
        <v>1</v>
      </c>
      <c r="BL19">
        <v>0</v>
      </c>
      <c r="BM19">
        <v>0</v>
      </c>
      <c r="BN19">
        <v>1</v>
      </c>
      <c r="BO19">
        <v>1</v>
      </c>
      <c r="BP19">
        <v>1</v>
      </c>
      <c r="BQ19">
        <v>0</v>
      </c>
      <c r="BR19">
        <v>1</v>
      </c>
      <c r="BS19">
        <v>0</v>
      </c>
      <c r="BT19">
        <v>1</v>
      </c>
      <c r="BU19">
        <v>0</v>
      </c>
      <c r="BV19">
        <v>0</v>
      </c>
      <c r="BW19">
        <v>1</v>
      </c>
      <c r="BX19">
        <v>0</v>
      </c>
      <c r="BY19">
        <v>0</v>
      </c>
      <c r="BZ19">
        <v>0</v>
      </c>
      <c r="CA19">
        <v>0</v>
      </c>
      <c r="CB19">
        <v>0</v>
      </c>
      <c r="CC19">
        <v>1</v>
      </c>
      <c r="CD19">
        <v>1</v>
      </c>
      <c r="CE19">
        <v>0</v>
      </c>
      <c r="CF19">
        <v>0</v>
      </c>
      <c r="CG19">
        <v>0</v>
      </c>
      <c r="CH19">
        <v>0</v>
      </c>
      <c r="CI19">
        <v>0</v>
      </c>
      <c r="CJ19">
        <v>0</v>
      </c>
      <c r="CK19">
        <v>0</v>
      </c>
      <c r="CL19">
        <v>1</v>
      </c>
      <c r="CM19">
        <v>0</v>
      </c>
      <c r="CO19" t="s">
        <v>98</v>
      </c>
      <c r="CP19" t="s">
        <v>411</v>
      </c>
      <c r="CQ19" t="s">
        <v>100</v>
      </c>
      <c r="CR19" t="s">
        <v>412</v>
      </c>
      <c r="CS19" t="s">
        <v>102</v>
      </c>
      <c r="CT19" t="s">
        <v>413</v>
      </c>
      <c r="CU19" t="s">
        <v>253</v>
      </c>
      <c r="CV19" t="s">
        <v>414</v>
      </c>
      <c r="CW19" t="s">
        <v>138</v>
      </c>
      <c r="CX19" t="s">
        <v>415</v>
      </c>
      <c r="CY19" t="s">
        <v>416</v>
      </c>
      <c r="CZ19" t="s">
        <v>417</v>
      </c>
      <c r="DB19" t="s">
        <v>74</v>
      </c>
      <c r="DC19" t="s">
        <v>80</v>
      </c>
      <c r="DD19">
        <v>0</v>
      </c>
      <c r="DE19">
        <v>0</v>
      </c>
      <c r="DF19">
        <v>1</v>
      </c>
      <c r="DG19">
        <v>0</v>
      </c>
      <c r="DH19">
        <v>0</v>
      </c>
      <c r="DJ19" t="s">
        <v>418</v>
      </c>
      <c r="DK19" t="s">
        <v>419</v>
      </c>
      <c r="DL19" t="s">
        <v>420</v>
      </c>
      <c r="DM19">
        <v>629517854</v>
      </c>
      <c r="DN19" t="s">
        <v>421</v>
      </c>
      <c r="DO19" s="1">
        <v>46005.155833333331</v>
      </c>
      <c r="DR19" t="s">
        <v>62</v>
      </c>
      <c r="DT19" t="s">
        <v>76</v>
      </c>
      <c r="DV19" t="s">
        <v>422</v>
      </c>
      <c r="DW19">
        <v>30</v>
      </c>
    </row>
    <row r="20" spans="1:127" x14ac:dyDescent="0.25">
      <c r="A20" s="1">
        <v>45989.576961307866</v>
      </c>
      <c r="B20" s="1">
        <v>46005.28191795139</v>
      </c>
      <c r="F20" t="s">
        <v>63</v>
      </c>
      <c r="H20" t="s">
        <v>85</v>
      </c>
      <c r="I20" s="1">
        <v>45989</v>
      </c>
      <c r="J20" t="s">
        <v>423</v>
      </c>
      <c r="K20" t="s">
        <v>424</v>
      </c>
      <c r="L20">
        <v>-2.3451970000000002</v>
      </c>
      <c r="M20">
        <v>37.891672999999997</v>
      </c>
      <c r="N20">
        <v>926.7</v>
      </c>
      <c r="O20">
        <v>7.0999999046325684</v>
      </c>
      <c r="Q20" t="s">
        <v>425</v>
      </c>
      <c r="R20" t="s">
        <v>20</v>
      </c>
      <c r="S20" t="s">
        <v>65</v>
      </c>
      <c r="U20">
        <v>1</v>
      </c>
      <c r="V20">
        <v>2</v>
      </c>
      <c r="W20">
        <v>798863109</v>
      </c>
      <c r="X20" t="s">
        <v>150</v>
      </c>
      <c r="Y20" t="s">
        <v>67</v>
      </c>
      <c r="AA20" t="s">
        <v>68</v>
      </c>
      <c r="AB20">
        <v>1</v>
      </c>
      <c r="AC20">
        <v>1</v>
      </c>
      <c r="AD20">
        <v>1</v>
      </c>
      <c r="AE20">
        <v>0</v>
      </c>
      <c r="AG20" t="s">
        <v>90</v>
      </c>
      <c r="AH20" t="s">
        <v>70</v>
      </c>
      <c r="AI20" t="s">
        <v>284</v>
      </c>
      <c r="AJ20">
        <v>1</v>
      </c>
      <c r="AK20">
        <v>0</v>
      </c>
      <c r="AL20">
        <v>0</v>
      </c>
      <c r="AM20">
        <v>1</v>
      </c>
      <c r="AN20">
        <v>0</v>
      </c>
      <c r="AP20" t="s">
        <v>91</v>
      </c>
      <c r="AQ20">
        <v>1</v>
      </c>
      <c r="AR20">
        <v>0</v>
      </c>
      <c r="AS20">
        <v>1</v>
      </c>
      <c r="AT20">
        <v>0</v>
      </c>
      <c r="AU20">
        <v>0</v>
      </c>
      <c r="AV20">
        <v>0</v>
      </c>
      <c r="AX20" t="s">
        <v>115</v>
      </c>
      <c r="AY20">
        <v>1</v>
      </c>
      <c r="AZ20">
        <v>1</v>
      </c>
      <c r="BA20">
        <v>1</v>
      </c>
      <c r="BB20">
        <v>1</v>
      </c>
      <c r="BC20">
        <v>1</v>
      </c>
      <c r="BD20">
        <v>1</v>
      </c>
      <c r="BE20">
        <v>1</v>
      </c>
      <c r="BF20">
        <v>1</v>
      </c>
      <c r="BG20">
        <v>0</v>
      </c>
      <c r="BJ20" t="s">
        <v>426</v>
      </c>
      <c r="BK20">
        <v>1</v>
      </c>
      <c r="BL20">
        <v>1</v>
      </c>
      <c r="BM20">
        <v>0</v>
      </c>
      <c r="BN20">
        <v>1</v>
      </c>
      <c r="BO20">
        <v>1</v>
      </c>
      <c r="BP20">
        <v>1</v>
      </c>
      <c r="BQ20">
        <v>0</v>
      </c>
      <c r="BR20">
        <v>1</v>
      </c>
      <c r="BS20">
        <v>0</v>
      </c>
      <c r="BT20">
        <v>0</v>
      </c>
      <c r="BU20">
        <v>0</v>
      </c>
      <c r="BV20">
        <v>0</v>
      </c>
      <c r="BW20">
        <v>0</v>
      </c>
      <c r="BX20">
        <v>0</v>
      </c>
      <c r="BY20">
        <v>0</v>
      </c>
      <c r="BZ20">
        <v>0</v>
      </c>
      <c r="CA20">
        <v>0</v>
      </c>
      <c r="CB20">
        <v>0</v>
      </c>
      <c r="CC20">
        <v>1</v>
      </c>
      <c r="CD20">
        <v>0</v>
      </c>
      <c r="CE20">
        <v>0</v>
      </c>
      <c r="CF20">
        <v>0</v>
      </c>
      <c r="CG20">
        <v>1</v>
      </c>
      <c r="CH20">
        <v>1</v>
      </c>
      <c r="CI20">
        <v>0</v>
      </c>
      <c r="CJ20">
        <v>0</v>
      </c>
      <c r="CK20">
        <v>0</v>
      </c>
      <c r="CL20">
        <v>1</v>
      </c>
      <c r="CM20">
        <v>0</v>
      </c>
      <c r="CO20" t="s">
        <v>94</v>
      </c>
      <c r="CP20" t="s">
        <v>427</v>
      </c>
      <c r="CQ20" t="s">
        <v>98</v>
      </c>
      <c r="CR20" t="s">
        <v>428</v>
      </c>
      <c r="CS20" t="s">
        <v>102</v>
      </c>
      <c r="CT20" t="s">
        <v>429</v>
      </c>
      <c r="CU20" t="s">
        <v>236</v>
      </c>
      <c r="CV20" t="s">
        <v>430</v>
      </c>
      <c r="CW20" t="s">
        <v>197</v>
      </c>
      <c r="CX20" t="s">
        <v>431</v>
      </c>
      <c r="CY20" t="s">
        <v>432</v>
      </c>
      <c r="CZ20" t="s">
        <v>433</v>
      </c>
      <c r="DB20" t="s">
        <v>74</v>
      </c>
      <c r="DC20" t="s">
        <v>80</v>
      </c>
      <c r="DD20">
        <v>0</v>
      </c>
      <c r="DE20">
        <v>0</v>
      </c>
      <c r="DF20">
        <v>1</v>
      </c>
      <c r="DG20">
        <v>0</v>
      </c>
      <c r="DH20">
        <v>0</v>
      </c>
      <c r="DJ20" t="s">
        <v>434</v>
      </c>
      <c r="DK20" t="s">
        <v>435</v>
      </c>
      <c r="DL20" t="s">
        <v>436</v>
      </c>
      <c r="DM20">
        <v>629518230</v>
      </c>
      <c r="DN20" t="s">
        <v>437</v>
      </c>
      <c r="DO20" s="1">
        <v>46005.15693287037</v>
      </c>
      <c r="DR20" t="s">
        <v>62</v>
      </c>
      <c r="DT20" t="s">
        <v>76</v>
      </c>
      <c r="DV20" t="s">
        <v>438</v>
      </c>
      <c r="DW20">
        <v>31</v>
      </c>
    </row>
    <row r="21" spans="1:127" x14ac:dyDescent="0.25">
      <c r="A21" s="1">
        <v>45992.41410105324</v>
      </c>
      <c r="B21" s="1">
        <v>46005.283503900457</v>
      </c>
      <c r="F21" t="s">
        <v>63</v>
      </c>
      <c r="H21" t="s">
        <v>85</v>
      </c>
      <c r="I21" s="1">
        <v>45992</v>
      </c>
      <c r="J21" t="s">
        <v>423</v>
      </c>
      <c r="K21" t="s">
        <v>439</v>
      </c>
      <c r="L21">
        <v>-2.3422670000000001</v>
      </c>
      <c r="M21">
        <v>37.892251999999999</v>
      </c>
      <c r="N21">
        <v>993.6</v>
      </c>
      <c r="O21">
        <v>8.8000001907348633</v>
      </c>
      <c r="Q21" t="s">
        <v>440</v>
      </c>
      <c r="R21" t="s">
        <v>64</v>
      </c>
      <c r="S21" t="s">
        <v>190</v>
      </c>
      <c r="U21">
        <v>2</v>
      </c>
      <c r="V21">
        <v>2</v>
      </c>
      <c r="W21">
        <v>720833524</v>
      </c>
      <c r="X21" t="s">
        <v>150</v>
      </c>
      <c r="Y21" t="s">
        <v>67</v>
      </c>
      <c r="AA21" t="s">
        <v>68</v>
      </c>
      <c r="AB21">
        <v>1</v>
      </c>
      <c r="AC21">
        <v>1</v>
      </c>
      <c r="AD21">
        <v>1</v>
      </c>
      <c r="AE21">
        <v>0</v>
      </c>
      <c r="AG21" t="s">
        <v>90</v>
      </c>
      <c r="AH21" t="s">
        <v>70</v>
      </c>
      <c r="AI21" t="s">
        <v>113</v>
      </c>
      <c r="AJ21">
        <v>1</v>
      </c>
      <c r="AK21">
        <v>0</v>
      </c>
      <c r="AL21">
        <v>1</v>
      </c>
      <c r="AM21">
        <v>1</v>
      </c>
      <c r="AN21">
        <v>0</v>
      </c>
      <c r="AP21" t="s">
        <v>91</v>
      </c>
      <c r="AQ21">
        <v>1</v>
      </c>
      <c r="AR21">
        <v>0</v>
      </c>
      <c r="AS21">
        <v>1</v>
      </c>
      <c r="AT21">
        <v>0</v>
      </c>
      <c r="AU21">
        <v>0</v>
      </c>
      <c r="AV21">
        <v>0</v>
      </c>
      <c r="AX21" t="s">
        <v>115</v>
      </c>
      <c r="AY21">
        <v>1</v>
      </c>
      <c r="AZ21">
        <v>1</v>
      </c>
      <c r="BA21">
        <v>1</v>
      </c>
      <c r="BB21">
        <v>1</v>
      </c>
      <c r="BC21">
        <v>1</v>
      </c>
      <c r="BD21">
        <v>1</v>
      </c>
      <c r="BE21">
        <v>1</v>
      </c>
      <c r="BF21">
        <v>1</v>
      </c>
      <c r="BG21">
        <v>0</v>
      </c>
      <c r="BJ21" t="s">
        <v>441</v>
      </c>
      <c r="BK21">
        <v>1</v>
      </c>
      <c r="BL21">
        <v>1</v>
      </c>
      <c r="BM21">
        <v>0</v>
      </c>
      <c r="BN21">
        <v>1</v>
      </c>
      <c r="BO21">
        <v>1</v>
      </c>
      <c r="BP21">
        <v>0</v>
      </c>
      <c r="BQ21">
        <v>1</v>
      </c>
      <c r="BR21">
        <v>0</v>
      </c>
      <c r="BS21">
        <v>0</v>
      </c>
      <c r="BT21">
        <v>0</v>
      </c>
      <c r="BU21">
        <v>0</v>
      </c>
      <c r="BV21">
        <v>0</v>
      </c>
      <c r="BW21">
        <v>0</v>
      </c>
      <c r="BX21">
        <v>0</v>
      </c>
      <c r="BY21">
        <v>1</v>
      </c>
      <c r="BZ21">
        <v>0</v>
      </c>
      <c r="CA21">
        <v>0</v>
      </c>
      <c r="CB21">
        <v>0</v>
      </c>
      <c r="CC21">
        <v>1</v>
      </c>
      <c r="CD21">
        <v>0</v>
      </c>
      <c r="CE21">
        <v>0</v>
      </c>
      <c r="CF21">
        <v>1</v>
      </c>
      <c r="CG21">
        <v>1</v>
      </c>
      <c r="CH21">
        <v>1</v>
      </c>
      <c r="CI21">
        <v>0</v>
      </c>
      <c r="CJ21">
        <v>0</v>
      </c>
      <c r="CK21">
        <v>0</v>
      </c>
      <c r="CL21">
        <v>0</v>
      </c>
      <c r="CM21">
        <v>0</v>
      </c>
      <c r="CO21" t="s">
        <v>94</v>
      </c>
      <c r="CP21" t="s">
        <v>442</v>
      </c>
      <c r="CQ21" t="s">
        <v>98</v>
      </c>
      <c r="CR21" t="s">
        <v>443</v>
      </c>
      <c r="CS21" t="s">
        <v>102</v>
      </c>
      <c r="CT21" t="s">
        <v>444</v>
      </c>
      <c r="CU21" t="s">
        <v>96</v>
      </c>
      <c r="CV21" t="s">
        <v>445</v>
      </c>
      <c r="CW21" t="s">
        <v>138</v>
      </c>
      <c r="CX21" t="s">
        <v>446</v>
      </c>
      <c r="CY21" t="s">
        <v>447</v>
      </c>
      <c r="CZ21" t="s">
        <v>448</v>
      </c>
      <c r="DB21" t="s">
        <v>74</v>
      </c>
      <c r="DC21" t="s">
        <v>80</v>
      </c>
      <c r="DD21">
        <v>0</v>
      </c>
      <c r="DE21">
        <v>0</v>
      </c>
      <c r="DF21">
        <v>1</v>
      </c>
      <c r="DG21">
        <v>0</v>
      </c>
      <c r="DH21">
        <v>0</v>
      </c>
      <c r="DJ21" t="s">
        <v>449</v>
      </c>
      <c r="DK21" t="s">
        <v>450</v>
      </c>
      <c r="DL21" t="s">
        <v>451</v>
      </c>
      <c r="DM21">
        <v>629518778</v>
      </c>
      <c r="DN21" t="s">
        <v>452</v>
      </c>
      <c r="DO21" s="1">
        <v>46005.158518518518</v>
      </c>
      <c r="DR21" t="s">
        <v>62</v>
      </c>
      <c r="DT21" t="s">
        <v>76</v>
      </c>
      <c r="DV21" t="s">
        <v>453</v>
      </c>
      <c r="DW21">
        <v>32</v>
      </c>
    </row>
    <row r="22" spans="1:127" x14ac:dyDescent="0.25">
      <c r="A22" s="1">
        <v>45992.483212476851</v>
      </c>
      <c r="B22" s="1">
        <v>46005.285467719907</v>
      </c>
      <c r="F22" t="s">
        <v>63</v>
      </c>
      <c r="H22" t="s">
        <v>85</v>
      </c>
      <c r="I22" s="1">
        <v>45992</v>
      </c>
      <c r="J22" t="s">
        <v>454</v>
      </c>
      <c r="K22" t="s">
        <v>455</v>
      </c>
      <c r="L22">
        <v>-2.317707</v>
      </c>
      <c r="M22">
        <v>37.883718000000002</v>
      </c>
      <c r="N22">
        <v>983.1</v>
      </c>
      <c r="O22">
        <v>9.8999996185302734</v>
      </c>
      <c r="Q22" t="s">
        <v>456</v>
      </c>
      <c r="R22" t="s">
        <v>20</v>
      </c>
      <c r="S22" t="s">
        <v>89</v>
      </c>
      <c r="U22">
        <v>2</v>
      </c>
      <c r="V22">
        <v>4</v>
      </c>
      <c r="W22">
        <v>725613810</v>
      </c>
      <c r="X22" t="s">
        <v>617</v>
      </c>
      <c r="Y22" t="s">
        <v>67</v>
      </c>
      <c r="AA22" t="s">
        <v>265</v>
      </c>
      <c r="AB22">
        <v>1</v>
      </c>
      <c r="AC22">
        <v>0</v>
      </c>
      <c r="AD22">
        <v>1</v>
      </c>
      <c r="AE22">
        <v>0</v>
      </c>
      <c r="AG22" t="s">
        <v>90</v>
      </c>
      <c r="AH22" t="s">
        <v>70</v>
      </c>
      <c r="AI22" t="s">
        <v>79</v>
      </c>
      <c r="AJ22">
        <v>0</v>
      </c>
      <c r="AK22">
        <v>0</v>
      </c>
      <c r="AL22">
        <v>0</v>
      </c>
      <c r="AM22">
        <v>1</v>
      </c>
      <c r="AN22">
        <v>0</v>
      </c>
      <c r="AP22" t="s">
        <v>91</v>
      </c>
      <c r="AQ22">
        <v>1</v>
      </c>
      <c r="AR22">
        <v>0</v>
      </c>
      <c r="AS22">
        <v>1</v>
      </c>
      <c r="AT22">
        <v>0</v>
      </c>
      <c r="AU22">
        <v>0</v>
      </c>
      <c r="AV22">
        <v>0</v>
      </c>
      <c r="AX22" t="s">
        <v>115</v>
      </c>
      <c r="AY22">
        <v>1</v>
      </c>
      <c r="AZ22">
        <v>1</v>
      </c>
      <c r="BA22">
        <v>1</v>
      </c>
      <c r="BB22">
        <v>1</v>
      </c>
      <c r="BC22">
        <v>1</v>
      </c>
      <c r="BD22">
        <v>1</v>
      </c>
      <c r="BE22">
        <v>1</v>
      </c>
      <c r="BF22">
        <v>1</v>
      </c>
      <c r="BG22">
        <v>0</v>
      </c>
      <c r="BJ22" t="s">
        <v>457</v>
      </c>
      <c r="BK22">
        <v>1</v>
      </c>
      <c r="BL22">
        <v>1</v>
      </c>
      <c r="BM22">
        <v>0</v>
      </c>
      <c r="BN22">
        <v>1</v>
      </c>
      <c r="BO22">
        <v>1</v>
      </c>
      <c r="BP22">
        <v>0</v>
      </c>
      <c r="BQ22">
        <v>0</v>
      </c>
      <c r="BR22">
        <v>0</v>
      </c>
      <c r="BS22">
        <v>0</v>
      </c>
      <c r="BT22">
        <v>0</v>
      </c>
      <c r="BU22">
        <v>0</v>
      </c>
      <c r="BV22">
        <v>0</v>
      </c>
      <c r="BW22">
        <v>0</v>
      </c>
      <c r="BX22">
        <v>0</v>
      </c>
      <c r="BY22">
        <v>1</v>
      </c>
      <c r="BZ22">
        <v>0</v>
      </c>
      <c r="CA22">
        <v>0</v>
      </c>
      <c r="CB22">
        <v>0</v>
      </c>
      <c r="CC22">
        <v>1</v>
      </c>
      <c r="CD22">
        <v>0</v>
      </c>
      <c r="CE22">
        <v>0</v>
      </c>
      <c r="CF22">
        <v>0</v>
      </c>
      <c r="CG22">
        <v>1</v>
      </c>
      <c r="CH22">
        <v>1</v>
      </c>
      <c r="CI22">
        <v>0</v>
      </c>
      <c r="CJ22">
        <v>0</v>
      </c>
      <c r="CK22">
        <v>1</v>
      </c>
      <c r="CL22">
        <v>0</v>
      </c>
      <c r="CM22">
        <v>0</v>
      </c>
      <c r="CO22" t="s">
        <v>94</v>
      </c>
      <c r="CP22" t="s">
        <v>458</v>
      </c>
      <c r="CQ22" t="s">
        <v>102</v>
      </c>
      <c r="CR22" t="s">
        <v>459</v>
      </c>
      <c r="CS22" t="s">
        <v>199</v>
      </c>
      <c r="CT22" t="s">
        <v>460</v>
      </c>
      <c r="CU22" t="s">
        <v>98</v>
      </c>
      <c r="CV22" t="s">
        <v>235</v>
      </c>
      <c r="CW22" t="s">
        <v>138</v>
      </c>
      <c r="CX22" t="s">
        <v>461</v>
      </c>
      <c r="CY22" t="s">
        <v>462</v>
      </c>
      <c r="CZ22" t="s">
        <v>463</v>
      </c>
      <c r="DB22" t="s">
        <v>74</v>
      </c>
      <c r="DC22" t="s">
        <v>80</v>
      </c>
      <c r="DD22">
        <v>0</v>
      </c>
      <c r="DE22">
        <v>0</v>
      </c>
      <c r="DF22">
        <v>1</v>
      </c>
      <c r="DG22">
        <v>0</v>
      </c>
      <c r="DH22">
        <v>0</v>
      </c>
      <c r="DJ22" t="s">
        <v>464</v>
      </c>
      <c r="DK22" t="s">
        <v>276</v>
      </c>
      <c r="DL22" t="s">
        <v>465</v>
      </c>
      <c r="DM22">
        <v>629519137</v>
      </c>
      <c r="DN22" t="s">
        <v>466</v>
      </c>
      <c r="DO22" s="1">
        <v>46005.160486111112</v>
      </c>
      <c r="DR22" t="s">
        <v>62</v>
      </c>
      <c r="DT22" t="s">
        <v>76</v>
      </c>
      <c r="DV22" t="s">
        <v>467</v>
      </c>
      <c r="DW22">
        <v>33</v>
      </c>
    </row>
    <row r="23" spans="1:127" x14ac:dyDescent="0.25">
      <c r="A23" s="1">
        <v>45992.550316678236</v>
      </c>
      <c r="B23" s="1">
        <v>46005.288410000001</v>
      </c>
      <c r="F23" t="s">
        <v>63</v>
      </c>
      <c r="H23" t="s">
        <v>85</v>
      </c>
      <c r="I23" s="1">
        <v>45992</v>
      </c>
      <c r="J23" t="s">
        <v>468</v>
      </c>
      <c r="K23" t="s">
        <v>469</v>
      </c>
      <c r="L23">
        <v>-2.3187570000000002</v>
      </c>
      <c r="M23">
        <v>37.882547000000002</v>
      </c>
      <c r="N23">
        <v>997</v>
      </c>
      <c r="O23">
        <v>4.8000001907348633</v>
      </c>
      <c r="Q23" t="s">
        <v>470</v>
      </c>
      <c r="R23" t="s">
        <v>20</v>
      </c>
      <c r="S23" t="s">
        <v>471</v>
      </c>
      <c r="U23">
        <v>1</v>
      </c>
      <c r="V23">
        <v>2</v>
      </c>
      <c r="W23">
        <v>748780333</v>
      </c>
      <c r="X23" t="s">
        <v>150</v>
      </c>
      <c r="Y23" t="s">
        <v>78</v>
      </c>
      <c r="AA23" t="s">
        <v>265</v>
      </c>
      <c r="AB23">
        <v>1</v>
      </c>
      <c r="AC23">
        <v>0</v>
      </c>
      <c r="AD23">
        <v>1</v>
      </c>
      <c r="AE23">
        <v>0</v>
      </c>
      <c r="AG23" t="s">
        <v>90</v>
      </c>
      <c r="AH23" t="s">
        <v>70</v>
      </c>
      <c r="AI23" t="s">
        <v>79</v>
      </c>
      <c r="AJ23">
        <v>0</v>
      </c>
      <c r="AK23">
        <v>0</v>
      </c>
      <c r="AL23">
        <v>0</v>
      </c>
      <c r="AM23">
        <v>1</v>
      </c>
      <c r="AN23">
        <v>0</v>
      </c>
      <c r="AP23" t="s">
        <v>83</v>
      </c>
      <c r="AQ23">
        <v>1</v>
      </c>
      <c r="AR23">
        <v>0</v>
      </c>
      <c r="AS23">
        <v>0</v>
      </c>
      <c r="AT23">
        <v>0</v>
      </c>
      <c r="AU23">
        <v>0</v>
      </c>
      <c r="AV23">
        <v>0</v>
      </c>
      <c r="AX23" t="s">
        <v>115</v>
      </c>
      <c r="AY23">
        <v>1</v>
      </c>
      <c r="AZ23">
        <v>1</v>
      </c>
      <c r="BA23">
        <v>1</v>
      </c>
      <c r="BB23">
        <v>1</v>
      </c>
      <c r="BC23">
        <v>1</v>
      </c>
      <c r="BD23">
        <v>1</v>
      </c>
      <c r="BE23">
        <v>1</v>
      </c>
      <c r="BF23">
        <v>1</v>
      </c>
      <c r="BG23">
        <v>0</v>
      </c>
      <c r="BJ23" t="s">
        <v>472</v>
      </c>
      <c r="BK23">
        <v>1</v>
      </c>
      <c r="BL23">
        <v>1</v>
      </c>
      <c r="BM23">
        <v>0</v>
      </c>
      <c r="BN23">
        <v>1</v>
      </c>
      <c r="BO23">
        <v>1</v>
      </c>
      <c r="BP23">
        <v>0</v>
      </c>
      <c r="BQ23">
        <v>0</v>
      </c>
      <c r="BR23">
        <v>1</v>
      </c>
      <c r="BS23">
        <v>0</v>
      </c>
      <c r="BT23">
        <v>0</v>
      </c>
      <c r="BU23">
        <v>0</v>
      </c>
      <c r="BV23">
        <v>0</v>
      </c>
      <c r="BW23">
        <v>0</v>
      </c>
      <c r="BX23">
        <v>0</v>
      </c>
      <c r="BY23">
        <v>0</v>
      </c>
      <c r="BZ23">
        <v>0</v>
      </c>
      <c r="CA23">
        <v>0</v>
      </c>
      <c r="CB23">
        <v>0</v>
      </c>
      <c r="CC23">
        <v>1</v>
      </c>
      <c r="CD23">
        <v>0</v>
      </c>
      <c r="CE23">
        <v>0</v>
      </c>
      <c r="CF23">
        <v>0</v>
      </c>
      <c r="CG23">
        <v>1</v>
      </c>
      <c r="CH23">
        <v>1</v>
      </c>
      <c r="CI23">
        <v>1</v>
      </c>
      <c r="CJ23">
        <v>0</v>
      </c>
      <c r="CK23">
        <v>1</v>
      </c>
      <c r="CL23">
        <v>0</v>
      </c>
      <c r="CM23">
        <v>0</v>
      </c>
      <c r="CO23" t="s">
        <v>94</v>
      </c>
      <c r="CP23" t="s">
        <v>473</v>
      </c>
      <c r="CQ23" t="s">
        <v>98</v>
      </c>
      <c r="CR23" t="s">
        <v>474</v>
      </c>
      <c r="CS23" t="s">
        <v>197</v>
      </c>
      <c r="CT23" t="s">
        <v>475</v>
      </c>
      <c r="CU23" t="s">
        <v>102</v>
      </c>
      <c r="CV23" t="s">
        <v>476</v>
      </c>
      <c r="CW23" t="s">
        <v>199</v>
      </c>
      <c r="CX23" t="s">
        <v>477</v>
      </c>
      <c r="CY23" t="s">
        <v>478</v>
      </c>
      <c r="CZ23" t="s">
        <v>479</v>
      </c>
      <c r="DB23" t="s">
        <v>74</v>
      </c>
      <c r="DC23" t="s">
        <v>80</v>
      </c>
      <c r="DD23">
        <v>0</v>
      </c>
      <c r="DE23">
        <v>0</v>
      </c>
      <c r="DF23">
        <v>1</v>
      </c>
      <c r="DG23">
        <v>0</v>
      </c>
      <c r="DH23">
        <v>0</v>
      </c>
      <c r="DJ23" t="s">
        <v>480</v>
      </c>
      <c r="DK23" t="s">
        <v>481</v>
      </c>
      <c r="DL23" t="s">
        <v>482</v>
      </c>
      <c r="DM23">
        <v>629519739</v>
      </c>
      <c r="DN23" t="s">
        <v>483</v>
      </c>
      <c r="DO23" s="1">
        <v>46005.163437499999</v>
      </c>
      <c r="DR23" t="s">
        <v>62</v>
      </c>
      <c r="DT23" t="s">
        <v>76</v>
      </c>
      <c r="DV23" t="s">
        <v>484</v>
      </c>
      <c r="DW23">
        <v>34</v>
      </c>
    </row>
    <row r="24" spans="1:127" x14ac:dyDescent="0.25">
      <c r="A24" s="1">
        <v>45992.583102500001</v>
      </c>
      <c r="B24" s="1">
        <v>46005.289807835637</v>
      </c>
      <c r="F24" t="s">
        <v>63</v>
      </c>
      <c r="H24" t="s">
        <v>85</v>
      </c>
      <c r="I24" s="1">
        <v>45992</v>
      </c>
      <c r="J24" t="s">
        <v>485</v>
      </c>
      <c r="K24" t="s">
        <v>486</v>
      </c>
      <c r="L24">
        <v>-2.36822</v>
      </c>
      <c r="M24">
        <v>37.895834999999998</v>
      </c>
      <c r="N24">
        <v>998.2</v>
      </c>
      <c r="O24">
        <v>12.60000038146973</v>
      </c>
      <c r="Q24" t="s">
        <v>487</v>
      </c>
      <c r="R24" t="s">
        <v>20</v>
      </c>
      <c r="S24" t="s">
        <v>190</v>
      </c>
      <c r="U24">
        <v>2</v>
      </c>
      <c r="V24">
        <v>1</v>
      </c>
      <c r="W24">
        <v>722820111</v>
      </c>
      <c r="X24" t="s">
        <v>150</v>
      </c>
      <c r="Y24" t="s">
        <v>67</v>
      </c>
      <c r="AA24" t="s">
        <v>171</v>
      </c>
      <c r="AB24">
        <v>1</v>
      </c>
      <c r="AC24">
        <v>1</v>
      </c>
      <c r="AD24">
        <v>1</v>
      </c>
      <c r="AE24">
        <v>1</v>
      </c>
      <c r="AF24" t="s">
        <v>152</v>
      </c>
      <c r="AG24" t="s">
        <v>69</v>
      </c>
      <c r="AH24" t="s">
        <v>70</v>
      </c>
      <c r="AI24" t="s">
        <v>113</v>
      </c>
      <c r="AJ24">
        <v>1</v>
      </c>
      <c r="AK24">
        <v>0</v>
      </c>
      <c r="AL24">
        <v>1</v>
      </c>
      <c r="AM24">
        <v>1</v>
      </c>
      <c r="AN24">
        <v>0</v>
      </c>
      <c r="AO24">
        <v>2</v>
      </c>
      <c r="AP24" t="s">
        <v>91</v>
      </c>
      <c r="AQ24">
        <v>1</v>
      </c>
      <c r="AR24">
        <v>0</v>
      </c>
      <c r="AS24">
        <v>1</v>
      </c>
      <c r="AT24">
        <v>0</v>
      </c>
      <c r="AU24">
        <v>0</v>
      </c>
      <c r="AV24">
        <v>0</v>
      </c>
      <c r="AX24" t="s">
        <v>115</v>
      </c>
      <c r="AY24">
        <v>1</v>
      </c>
      <c r="AZ24">
        <v>1</v>
      </c>
      <c r="BA24">
        <v>1</v>
      </c>
      <c r="BB24">
        <v>1</v>
      </c>
      <c r="BC24">
        <v>1</v>
      </c>
      <c r="BD24">
        <v>1</v>
      </c>
      <c r="BE24">
        <v>1</v>
      </c>
      <c r="BF24">
        <v>1</v>
      </c>
      <c r="BG24">
        <v>0</v>
      </c>
      <c r="BJ24" t="s">
        <v>488</v>
      </c>
      <c r="BK24">
        <v>1</v>
      </c>
      <c r="BL24">
        <v>1</v>
      </c>
      <c r="BM24">
        <v>0</v>
      </c>
      <c r="BN24">
        <v>1</v>
      </c>
      <c r="BO24">
        <v>1</v>
      </c>
      <c r="BP24">
        <v>0</v>
      </c>
      <c r="BQ24">
        <v>0</v>
      </c>
      <c r="BR24">
        <v>1</v>
      </c>
      <c r="BS24">
        <v>0</v>
      </c>
      <c r="BT24">
        <v>0</v>
      </c>
      <c r="BU24">
        <v>0</v>
      </c>
      <c r="BV24">
        <v>0</v>
      </c>
      <c r="BW24">
        <v>0</v>
      </c>
      <c r="BX24">
        <v>0</v>
      </c>
      <c r="BY24">
        <v>0</v>
      </c>
      <c r="BZ24">
        <v>0</v>
      </c>
      <c r="CA24">
        <v>0</v>
      </c>
      <c r="CB24">
        <v>0</v>
      </c>
      <c r="CC24">
        <v>1</v>
      </c>
      <c r="CD24">
        <v>0</v>
      </c>
      <c r="CE24">
        <v>0</v>
      </c>
      <c r="CF24">
        <v>0</v>
      </c>
      <c r="CG24">
        <v>1</v>
      </c>
      <c r="CH24">
        <v>1</v>
      </c>
      <c r="CI24">
        <v>0</v>
      </c>
      <c r="CJ24">
        <v>0</v>
      </c>
      <c r="CK24">
        <v>1</v>
      </c>
      <c r="CL24">
        <v>1</v>
      </c>
      <c r="CM24">
        <v>0</v>
      </c>
      <c r="CO24" t="s">
        <v>94</v>
      </c>
      <c r="CP24" t="s">
        <v>489</v>
      </c>
      <c r="CQ24" t="s">
        <v>102</v>
      </c>
      <c r="CR24" t="s">
        <v>490</v>
      </c>
      <c r="CS24" t="s">
        <v>98</v>
      </c>
      <c r="CT24" t="s">
        <v>491</v>
      </c>
      <c r="CU24" t="s">
        <v>100</v>
      </c>
      <c r="CV24" t="s">
        <v>492</v>
      </c>
      <c r="CW24" t="s">
        <v>253</v>
      </c>
      <c r="CX24" t="s">
        <v>493</v>
      </c>
      <c r="CY24" t="s">
        <v>494</v>
      </c>
      <c r="CZ24" t="s">
        <v>495</v>
      </c>
      <c r="DB24" t="s">
        <v>74</v>
      </c>
      <c r="DC24" t="s">
        <v>80</v>
      </c>
      <c r="DD24">
        <v>0</v>
      </c>
      <c r="DE24">
        <v>0</v>
      </c>
      <c r="DF24">
        <v>1</v>
      </c>
      <c r="DG24">
        <v>0</v>
      </c>
      <c r="DH24">
        <v>0</v>
      </c>
      <c r="DJ24" t="s">
        <v>496</v>
      </c>
      <c r="DK24" t="s">
        <v>497</v>
      </c>
      <c r="DL24" t="s">
        <v>498</v>
      </c>
      <c r="DM24">
        <v>629520058</v>
      </c>
      <c r="DN24" t="s">
        <v>499</v>
      </c>
      <c r="DO24" s="1">
        <v>46005.164826388893</v>
      </c>
      <c r="DR24" t="s">
        <v>62</v>
      </c>
      <c r="DT24" t="s">
        <v>76</v>
      </c>
      <c r="DV24" t="s">
        <v>500</v>
      </c>
      <c r="DW24">
        <v>35</v>
      </c>
    </row>
    <row r="25" spans="1:127" x14ac:dyDescent="0.25">
      <c r="A25" s="1">
        <v>45992.709202939812</v>
      </c>
      <c r="B25" s="1">
        <v>46005.291716006941</v>
      </c>
      <c r="F25" t="s">
        <v>63</v>
      </c>
      <c r="H25" t="s">
        <v>85</v>
      </c>
      <c r="I25" s="1">
        <v>45992</v>
      </c>
      <c r="J25" t="s">
        <v>501</v>
      </c>
      <c r="K25" t="s">
        <v>502</v>
      </c>
      <c r="L25">
        <v>-2.3578429999999999</v>
      </c>
      <c r="M25">
        <v>37.887732999999997</v>
      </c>
      <c r="N25">
        <v>988</v>
      </c>
      <c r="O25">
        <v>12.5</v>
      </c>
      <c r="Q25" t="s">
        <v>503</v>
      </c>
      <c r="R25" t="s">
        <v>20</v>
      </c>
      <c r="S25" t="s">
        <v>77</v>
      </c>
      <c r="U25">
        <v>3</v>
      </c>
      <c r="V25">
        <v>2</v>
      </c>
      <c r="W25">
        <v>723736122</v>
      </c>
      <c r="X25" t="s">
        <v>150</v>
      </c>
      <c r="Y25" t="s">
        <v>78</v>
      </c>
      <c r="AA25" t="s">
        <v>68</v>
      </c>
      <c r="AB25">
        <v>1</v>
      </c>
      <c r="AC25">
        <v>1</v>
      </c>
      <c r="AD25">
        <v>1</v>
      </c>
      <c r="AE25">
        <v>0</v>
      </c>
      <c r="AG25" t="s">
        <v>90</v>
      </c>
      <c r="AH25" t="s">
        <v>70</v>
      </c>
      <c r="AI25" t="s">
        <v>113</v>
      </c>
      <c r="AJ25">
        <v>1</v>
      </c>
      <c r="AK25">
        <v>0</v>
      </c>
      <c r="AL25">
        <v>1</v>
      </c>
      <c r="AM25">
        <v>1</v>
      </c>
      <c r="AN25">
        <v>0</v>
      </c>
      <c r="AP25" t="s">
        <v>91</v>
      </c>
      <c r="AQ25">
        <v>1</v>
      </c>
      <c r="AR25">
        <v>0</v>
      </c>
      <c r="AS25">
        <v>1</v>
      </c>
      <c r="AT25">
        <v>0</v>
      </c>
      <c r="AU25">
        <v>0</v>
      </c>
      <c r="AV25">
        <v>0</v>
      </c>
      <c r="AX25" t="s">
        <v>115</v>
      </c>
      <c r="AY25">
        <v>1</v>
      </c>
      <c r="AZ25">
        <v>1</v>
      </c>
      <c r="BA25">
        <v>1</v>
      </c>
      <c r="BB25">
        <v>1</v>
      </c>
      <c r="BC25">
        <v>1</v>
      </c>
      <c r="BD25">
        <v>1</v>
      </c>
      <c r="BE25">
        <v>1</v>
      </c>
      <c r="BF25">
        <v>1</v>
      </c>
      <c r="BG25">
        <v>0</v>
      </c>
      <c r="BJ25" t="s">
        <v>504</v>
      </c>
      <c r="BK25">
        <v>1</v>
      </c>
      <c r="BL25">
        <v>1</v>
      </c>
      <c r="BM25">
        <v>0</v>
      </c>
      <c r="BN25">
        <v>1</v>
      </c>
      <c r="BO25">
        <v>1</v>
      </c>
      <c r="BP25">
        <v>0</v>
      </c>
      <c r="BQ25">
        <v>0</v>
      </c>
      <c r="BR25">
        <v>0</v>
      </c>
      <c r="BS25">
        <v>0</v>
      </c>
      <c r="BT25">
        <v>0</v>
      </c>
      <c r="BU25">
        <v>0</v>
      </c>
      <c r="BV25">
        <v>0</v>
      </c>
      <c r="BW25">
        <v>0</v>
      </c>
      <c r="BX25">
        <v>0</v>
      </c>
      <c r="BY25">
        <v>0</v>
      </c>
      <c r="BZ25">
        <v>0</v>
      </c>
      <c r="CA25">
        <v>0</v>
      </c>
      <c r="CB25">
        <v>0</v>
      </c>
      <c r="CC25">
        <v>1</v>
      </c>
      <c r="CD25">
        <v>0</v>
      </c>
      <c r="CE25">
        <v>0</v>
      </c>
      <c r="CF25">
        <v>0</v>
      </c>
      <c r="CG25">
        <v>0</v>
      </c>
      <c r="CH25">
        <v>1</v>
      </c>
      <c r="CI25">
        <v>0</v>
      </c>
      <c r="CJ25">
        <v>0</v>
      </c>
      <c r="CK25">
        <v>1</v>
      </c>
      <c r="CL25">
        <v>1</v>
      </c>
      <c r="CM25">
        <v>0</v>
      </c>
      <c r="CO25" t="s">
        <v>94</v>
      </c>
      <c r="CP25" t="s">
        <v>505</v>
      </c>
      <c r="CQ25" t="s">
        <v>102</v>
      </c>
      <c r="CR25" t="s">
        <v>506</v>
      </c>
      <c r="CS25" t="s">
        <v>98</v>
      </c>
      <c r="CT25" t="s">
        <v>507</v>
      </c>
      <c r="CU25" t="s">
        <v>199</v>
      </c>
      <c r="CV25" t="s">
        <v>508</v>
      </c>
      <c r="CW25" t="s">
        <v>253</v>
      </c>
      <c r="CX25" t="s">
        <v>509</v>
      </c>
      <c r="CY25" t="s">
        <v>510</v>
      </c>
      <c r="CZ25" t="s">
        <v>511</v>
      </c>
      <c r="DB25" t="s">
        <v>74</v>
      </c>
      <c r="DC25" t="s">
        <v>80</v>
      </c>
      <c r="DD25">
        <v>0</v>
      </c>
      <c r="DE25">
        <v>0</v>
      </c>
      <c r="DF25">
        <v>1</v>
      </c>
      <c r="DG25">
        <v>0</v>
      </c>
      <c r="DH25">
        <v>0</v>
      </c>
      <c r="DJ25" t="s">
        <v>512</v>
      </c>
      <c r="DK25" t="s">
        <v>513</v>
      </c>
      <c r="DL25" t="s">
        <v>514</v>
      </c>
      <c r="DM25">
        <v>629520649</v>
      </c>
      <c r="DN25" t="s">
        <v>515</v>
      </c>
      <c r="DO25" s="1">
        <v>46005.16673611111</v>
      </c>
      <c r="DR25" t="s">
        <v>62</v>
      </c>
      <c r="DT25" t="s">
        <v>76</v>
      </c>
      <c r="DV25" t="s">
        <v>516</v>
      </c>
      <c r="DW25">
        <v>36</v>
      </c>
    </row>
    <row r="26" spans="1:127" x14ac:dyDescent="0.25">
      <c r="A26" s="1">
        <v>45992.745575949077</v>
      </c>
      <c r="B26" s="1">
        <v>46005.293314259259</v>
      </c>
      <c r="F26" t="s">
        <v>63</v>
      </c>
      <c r="H26" t="s">
        <v>85</v>
      </c>
      <c r="I26" s="1">
        <v>45993</v>
      </c>
      <c r="J26" t="s">
        <v>517</v>
      </c>
      <c r="K26" t="s">
        <v>518</v>
      </c>
      <c r="L26">
        <v>-2.3714270000000002</v>
      </c>
      <c r="M26">
        <v>37.990074999999997</v>
      </c>
      <c r="N26">
        <v>860.5</v>
      </c>
      <c r="O26">
        <v>12</v>
      </c>
      <c r="Q26" t="s">
        <v>519</v>
      </c>
      <c r="R26" t="s">
        <v>64</v>
      </c>
      <c r="S26" t="s">
        <v>190</v>
      </c>
      <c r="U26">
        <v>3</v>
      </c>
      <c r="V26">
        <v>3</v>
      </c>
      <c r="W26">
        <v>768333884</v>
      </c>
      <c r="X26" t="s">
        <v>150</v>
      </c>
      <c r="Y26" t="s">
        <v>67</v>
      </c>
      <c r="AA26" t="s">
        <v>68</v>
      </c>
      <c r="AB26">
        <v>1</v>
      </c>
      <c r="AC26">
        <v>1</v>
      </c>
      <c r="AD26">
        <v>1</v>
      </c>
      <c r="AE26">
        <v>0</v>
      </c>
      <c r="AG26" t="s">
        <v>69</v>
      </c>
      <c r="AH26" t="s">
        <v>70</v>
      </c>
      <c r="AI26" t="s">
        <v>71</v>
      </c>
      <c r="AJ26">
        <v>1</v>
      </c>
      <c r="AK26">
        <v>1</v>
      </c>
      <c r="AL26">
        <v>0</v>
      </c>
      <c r="AM26">
        <v>1</v>
      </c>
      <c r="AN26">
        <v>1</v>
      </c>
      <c r="AO26">
        <v>10</v>
      </c>
      <c r="AP26" t="s">
        <v>91</v>
      </c>
      <c r="AQ26">
        <v>1</v>
      </c>
      <c r="AR26">
        <v>0</v>
      </c>
      <c r="AS26">
        <v>1</v>
      </c>
      <c r="AT26">
        <v>0</v>
      </c>
      <c r="AU26">
        <v>0</v>
      </c>
      <c r="AV26">
        <v>0</v>
      </c>
      <c r="AX26" t="s">
        <v>115</v>
      </c>
      <c r="AY26">
        <v>1</v>
      </c>
      <c r="AZ26">
        <v>1</v>
      </c>
      <c r="BA26">
        <v>1</v>
      </c>
      <c r="BB26">
        <v>1</v>
      </c>
      <c r="BC26">
        <v>1</v>
      </c>
      <c r="BD26">
        <v>1</v>
      </c>
      <c r="BE26">
        <v>1</v>
      </c>
      <c r="BF26">
        <v>1</v>
      </c>
      <c r="BG26">
        <v>0</v>
      </c>
      <c r="BJ26" t="s">
        <v>520</v>
      </c>
      <c r="BK26">
        <v>0</v>
      </c>
      <c r="BL26">
        <v>0</v>
      </c>
      <c r="BM26">
        <v>0</v>
      </c>
      <c r="BN26">
        <v>1</v>
      </c>
      <c r="BO26">
        <v>1</v>
      </c>
      <c r="BP26">
        <v>0</v>
      </c>
      <c r="BQ26">
        <v>1</v>
      </c>
      <c r="BR26">
        <v>1</v>
      </c>
      <c r="BS26">
        <v>0</v>
      </c>
      <c r="BT26">
        <v>0</v>
      </c>
      <c r="BU26">
        <v>0</v>
      </c>
      <c r="BV26">
        <v>0</v>
      </c>
      <c r="BW26">
        <v>1</v>
      </c>
      <c r="BX26">
        <v>0</v>
      </c>
      <c r="BY26">
        <v>0</v>
      </c>
      <c r="BZ26">
        <v>0</v>
      </c>
      <c r="CA26">
        <v>0</v>
      </c>
      <c r="CB26">
        <v>0</v>
      </c>
      <c r="CC26">
        <v>1</v>
      </c>
      <c r="CD26">
        <v>0</v>
      </c>
      <c r="CE26">
        <v>1</v>
      </c>
      <c r="CF26">
        <v>0</v>
      </c>
      <c r="CG26">
        <v>1</v>
      </c>
      <c r="CH26">
        <v>1</v>
      </c>
      <c r="CI26">
        <v>0</v>
      </c>
      <c r="CJ26">
        <v>0</v>
      </c>
      <c r="CK26">
        <v>1</v>
      </c>
      <c r="CL26">
        <v>1</v>
      </c>
      <c r="CM26">
        <v>0</v>
      </c>
      <c r="CO26" t="s">
        <v>521</v>
      </c>
      <c r="CP26" t="s">
        <v>522</v>
      </c>
      <c r="CQ26" t="s">
        <v>523</v>
      </c>
      <c r="CR26" t="s">
        <v>524</v>
      </c>
      <c r="CS26" t="s">
        <v>102</v>
      </c>
      <c r="CT26" t="s">
        <v>525</v>
      </c>
      <c r="CU26" t="s">
        <v>98</v>
      </c>
      <c r="CV26" t="s">
        <v>526</v>
      </c>
      <c r="CW26" t="s">
        <v>96</v>
      </c>
      <c r="CX26" t="s">
        <v>527</v>
      </c>
      <c r="CY26" t="s">
        <v>528</v>
      </c>
      <c r="CZ26" t="s">
        <v>529</v>
      </c>
      <c r="DC26" t="s">
        <v>80</v>
      </c>
      <c r="DD26">
        <v>0</v>
      </c>
      <c r="DE26">
        <v>0</v>
      </c>
      <c r="DF26">
        <v>1</v>
      </c>
      <c r="DG26">
        <v>0</v>
      </c>
      <c r="DH26">
        <v>0</v>
      </c>
      <c r="DJ26" t="s">
        <v>530</v>
      </c>
      <c r="DK26" t="s">
        <v>531</v>
      </c>
      <c r="DL26" t="s">
        <v>532</v>
      </c>
      <c r="DM26">
        <v>629521169</v>
      </c>
      <c r="DN26" t="s">
        <v>533</v>
      </c>
      <c r="DO26" s="1">
        <v>46005.168333333328</v>
      </c>
      <c r="DR26" t="s">
        <v>62</v>
      </c>
      <c r="DT26" t="s">
        <v>76</v>
      </c>
      <c r="DV26" t="s">
        <v>534</v>
      </c>
      <c r="DW26">
        <v>37</v>
      </c>
    </row>
    <row r="27" spans="1:127" x14ac:dyDescent="0.25">
      <c r="A27" s="1">
        <v>45993.390683495367</v>
      </c>
      <c r="B27" s="1">
        <v>46005.294422222221</v>
      </c>
      <c r="F27" t="s">
        <v>63</v>
      </c>
      <c r="H27" t="s">
        <v>85</v>
      </c>
      <c r="I27" s="1">
        <v>45993</v>
      </c>
      <c r="J27" t="s">
        <v>517</v>
      </c>
      <c r="K27" t="s">
        <v>535</v>
      </c>
      <c r="L27">
        <v>-2.3683930000000002</v>
      </c>
      <c r="M27">
        <v>37.990720000000003</v>
      </c>
      <c r="N27">
        <v>863.4</v>
      </c>
      <c r="O27">
        <v>14.5</v>
      </c>
      <c r="Q27" t="s">
        <v>536</v>
      </c>
      <c r="R27" t="s">
        <v>20</v>
      </c>
      <c r="S27" t="s">
        <v>77</v>
      </c>
      <c r="U27">
        <v>2</v>
      </c>
      <c r="V27">
        <v>2</v>
      </c>
      <c r="W27">
        <v>723928793</v>
      </c>
      <c r="X27" t="s">
        <v>150</v>
      </c>
      <c r="Y27" t="s">
        <v>67</v>
      </c>
      <c r="AA27" t="s">
        <v>68</v>
      </c>
      <c r="AB27">
        <v>1</v>
      </c>
      <c r="AC27">
        <v>1</v>
      </c>
      <c r="AD27">
        <v>1</v>
      </c>
      <c r="AE27">
        <v>0</v>
      </c>
      <c r="AG27" t="s">
        <v>90</v>
      </c>
      <c r="AH27" t="s">
        <v>82</v>
      </c>
      <c r="AP27" t="s">
        <v>91</v>
      </c>
      <c r="AQ27">
        <v>1</v>
      </c>
      <c r="AR27">
        <v>0</v>
      </c>
      <c r="AS27">
        <v>1</v>
      </c>
      <c r="AT27">
        <v>0</v>
      </c>
      <c r="AU27">
        <v>0</v>
      </c>
      <c r="AV27">
        <v>0</v>
      </c>
      <c r="AX27" t="s">
        <v>115</v>
      </c>
      <c r="AY27">
        <v>1</v>
      </c>
      <c r="AZ27">
        <v>1</v>
      </c>
      <c r="BA27">
        <v>1</v>
      </c>
      <c r="BB27">
        <v>1</v>
      </c>
      <c r="BC27">
        <v>1</v>
      </c>
      <c r="BD27">
        <v>1</v>
      </c>
      <c r="BE27">
        <v>1</v>
      </c>
      <c r="BF27">
        <v>1</v>
      </c>
      <c r="BG27">
        <v>0</v>
      </c>
      <c r="BJ27" t="s">
        <v>537</v>
      </c>
      <c r="BK27">
        <v>1</v>
      </c>
      <c r="BL27">
        <v>1</v>
      </c>
      <c r="BM27">
        <v>0</v>
      </c>
      <c r="BN27">
        <v>1</v>
      </c>
      <c r="BO27">
        <v>1</v>
      </c>
      <c r="BP27">
        <v>1</v>
      </c>
      <c r="BQ27">
        <v>0</v>
      </c>
      <c r="BR27">
        <v>1</v>
      </c>
      <c r="BS27">
        <v>0</v>
      </c>
      <c r="BT27">
        <v>0</v>
      </c>
      <c r="BU27">
        <v>0</v>
      </c>
      <c r="BV27">
        <v>0</v>
      </c>
      <c r="BW27">
        <v>1</v>
      </c>
      <c r="BX27">
        <v>0</v>
      </c>
      <c r="BY27">
        <v>0</v>
      </c>
      <c r="BZ27">
        <v>0</v>
      </c>
      <c r="CA27">
        <v>0</v>
      </c>
      <c r="CB27">
        <v>0</v>
      </c>
      <c r="CC27">
        <v>1</v>
      </c>
      <c r="CD27">
        <v>0</v>
      </c>
      <c r="CE27">
        <v>0</v>
      </c>
      <c r="CF27">
        <v>0</v>
      </c>
      <c r="CG27">
        <v>0</v>
      </c>
      <c r="CH27">
        <v>1</v>
      </c>
      <c r="CI27">
        <v>0</v>
      </c>
      <c r="CJ27">
        <v>0</v>
      </c>
      <c r="CK27">
        <v>0</v>
      </c>
      <c r="CL27">
        <v>1</v>
      </c>
      <c r="CM27">
        <v>0</v>
      </c>
      <c r="CO27" t="s">
        <v>94</v>
      </c>
      <c r="CP27" t="s">
        <v>538</v>
      </c>
      <c r="CQ27" t="s">
        <v>98</v>
      </c>
      <c r="CR27" t="s">
        <v>539</v>
      </c>
      <c r="CS27" t="s">
        <v>199</v>
      </c>
      <c r="CT27" t="s">
        <v>540</v>
      </c>
      <c r="CU27" t="s">
        <v>102</v>
      </c>
      <c r="CV27" t="s">
        <v>541</v>
      </c>
      <c r="CW27" t="s">
        <v>197</v>
      </c>
      <c r="CX27" t="s">
        <v>542</v>
      </c>
      <c r="CY27" t="s">
        <v>543</v>
      </c>
      <c r="CZ27" t="s">
        <v>544</v>
      </c>
      <c r="DB27" t="s">
        <v>74</v>
      </c>
      <c r="DC27" t="s">
        <v>80</v>
      </c>
      <c r="DD27">
        <v>0</v>
      </c>
      <c r="DE27">
        <v>0</v>
      </c>
      <c r="DF27">
        <v>1</v>
      </c>
      <c r="DG27">
        <v>0</v>
      </c>
      <c r="DH27">
        <v>0</v>
      </c>
      <c r="DJ27" t="s">
        <v>545</v>
      </c>
      <c r="DK27" t="s">
        <v>546</v>
      </c>
      <c r="DL27" t="s">
        <v>547</v>
      </c>
      <c r="DM27">
        <v>629521637</v>
      </c>
      <c r="DN27" t="s">
        <v>548</v>
      </c>
      <c r="DO27" s="1">
        <v>46005.169444444437</v>
      </c>
      <c r="DR27" t="s">
        <v>62</v>
      </c>
      <c r="DT27" t="s">
        <v>76</v>
      </c>
      <c r="DV27" t="s">
        <v>549</v>
      </c>
      <c r="DW27">
        <v>38</v>
      </c>
    </row>
    <row r="28" spans="1:127" x14ac:dyDescent="0.25">
      <c r="A28" s="1">
        <v>45993.475941226847</v>
      </c>
      <c r="B28" s="1">
        <v>46005.29510354167</v>
      </c>
      <c r="F28" t="s">
        <v>63</v>
      </c>
      <c r="H28" t="s">
        <v>85</v>
      </c>
      <c r="I28" s="1">
        <v>45993</v>
      </c>
      <c r="J28" t="s">
        <v>167</v>
      </c>
      <c r="K28" t="s">
        <v>550</v>
      </c>
      <c r="L28">
        <v>-2.3610030000000002</v>
      </c>
      <c r="M28">
        <v>37.991553000000003</v>
      </c>
      <c r="N28">
        <v>873.09999999999991</v>
      </c>
      <c r="O28">
        <v>26.20000076293945</v>
      </c>
      <c r="Q28" t="s">
        <v>551</v>
      </c>
      <c r="R28" t="s">
        <v>20</v>
      </c>
      <c r="S28" t="s">
        <v>77</v>
      </c>
      <c r="U28">
        <v>2</v>
      </c>
      <c r="V28">
        <v>1</v>
      </c>
      <c r="W28">
        <v>728123344</v>
      </c>
      <c r="X28" t="s">
        <v>552</v>
      </c>
      <c r="Y28" t="s">
        <v>78</v>
      </c>
      <c r="AA28" t="s">
        <v>68</v>
      </c>
      <c r="AB28">
        <v>1</v>
      </c>
      <c r="AC28">
        <v>1</v>
      </c>
      <c r="AD28">
        <v>1</v>
      </c>
      <c r="AE28">
        <v>0</v>
      </c>
      <c r="AG28" t="s">
        <v>69</v>
      </c>
      <c r="AH28" t="s">
        <v>70</v>
      </c>
      <c r="AI28" t="s">
        <v>153</v>
      </c>
      <c r="AJ28">
        <v>1</v>
      </c>
      <c r="AK28">
        <v>1</v>
      </c>
      <c r="AL28">
        <v>1</v>
      </c>
      <c r="AM28">
        <v>1</v>
      </c>
      <c r="AN28">
        <v>1</v>
      </c>
      <c r="AO28">
        <v>4</v>
      </c>
      <c r="AP28" t="s">
        <v>91</v>
      </c>
      <c r="AQ28">
        <v>1</v>
      </c>
      <c r="AR28">
        <v>0</v>
      </c>
      <c r="AS28">
        <v>1</v>
      </c>
      <c r="AT28">
        <v>0</v>
      </c>
      <c r="AU28">
        <v>0</v>
      </c>
      <c r="AV28">
        <v>0</v>
      </c>
      <c r="AX28" t="s">
        <v>115</v>
      </c>
      <c r="AY28">
        <v>1</v>
      </c>
      <c r="AZ28">
        <v>1</v>
      </c>
      <c r="BA28">
        <v>1</v>
      </c>
      <c r="BB28">
        <v>1</v>
      </c>
      <c r="BC28">
        <v>1</v>
      </c>
      <c r="BD28">
        <v>1</v>
      </c>
      <c r="BE28">
        <v>1</v>
      </c>
      <c r="BF28">
        <v>1</v>
      </c>
      <c r="BG28">
        <v>0</v>
      </c>
      <c r="BJ28" t="s">
        <v>553</v>
      </c>
      <c r="BK28">
        <v>1</v>
      </c>
      <c r="BL28">
        <v>1</v>
      </c>
      <c r="BM28">
        <v>0</v>
      </c>
      <c r="BN28">
        <v>1</v>
      </c>
      <c r="BO28">
        <v>1</v>
      </c>
      <c r="BP28">
        <v>0</v>
      </c>
      <c r="BQ28">
        <v>0</v>
      </c>
      <c r="BR28">
        <v>1</v>
      </c>
      <c r="BS28">
        <v>0</v>
      </c>
      <c r="BT28">
        <v>0</v>
      </c>
      <c r="BU28">
        <v>0</v>
      </c>
      <c r="BV28">
        <v>0</v>
      </c>
      <c r="BW28">
        <v>1</v>
      </c>
      <c r="BX28">
        <v>0</v>
      </c>
      <c r="BY28">
        <v>0</v>
      </c>
      <c r="BZ28">
        <v>0</v>
      </c>
      <c r="CA28">
        <v>0</v>
      </c>
      <c r="CB28">
        <v>0</v>
      </c>
      <c r="CC28">
        <v>1</v>
      </c>
      <c r="CD28">
        <v>1</v>
      </c>
      <c r="CE28">
        <v>0</v>
      </c>
      <c r="CF28">
        <v>0</v>
      </c>
      <c r="CG28">
        <v>0</v>
      </c>
      <c r="CH28">
        <v>0</v>
      </c>
      <c r="CI28">
        <v>0</v>
      </c>
      <c r="CJ28">
        <v>0</v>
      </c>
      <c r="CK28">
        <v>1</v>
      </c>
      <c r="CL28">
        <v>1</v>
      </c>
      <c r="CM28">
        <v>0</v>
      </c>
      <c r="CO28" t="s">
        <v>98</v>
      </c>
      <c r="CP28" t="s">
        <v>554</v>
      </c>
      <c r="CQ28" t="s">
        <v>100</v>
      </c>
      <c r="CR28" t="s">
        <v>555</v>
      </c>
      <c r="CS28" t="s">
        <v>94</v>
      </c>
      <c r="CT28" t="s">
        <v>556</v>
      </c>
      <c r="CU28" t="s">
        <v>102</v>
      </c>
      <c r="CV28" t="s">
        <v>557</v>
      </c>
      <c r="CW28" t="s">
        <v>138</v>
      </c>
      <c r="CX28" t="s">
        <v>558</v>
      </c>
      <c r="CY28" t="s">
        <v>559</v>
      </c>
      <c r="CZ28" t="s">
        <v>560</v>
      </c>
      <c r="DB28" t="s">
        <v>74</v>
      </c>
      <c r="DC28" t="s">
        <v>80</v>
      </c>
      <c r="DD28">
        <v>0</v>
      </c>
      <c r="DE28">
        <v>0</v>
      </c>
      <c r="DF28">
        <v>1</v>
      </c>
      <c r="DG28">
        <v>0</v>
      </c>
      <c r="DH28">
        <v>0</v>
      </c>
      <c r="DJ28" t="s">
        <v>561</v>
      </c>
      <c r="DK28" t="s">
        <v>562</v>
      </c>
      <c r="DL28" t="s">
        <v>563</v>
      </c>
      <c r="DM28">
        <v>629522071</v>
      </c>
      <c r="DN28" t="s">
        <v>564</v>
      </c>
      <c r="DO28" s="1">
        <v>46005.170127314806</v>
      </c>
      <c r="DR28" t="s">
        <v>62</v>
      </c>
      <c r="DT28" t="s">
        <v>76</v>
      </c>
      <c r="DV28" t="s">
        <v>565</v>
      </c>
      <c r="DW28">
        <v>39</v>
      </c>
    </row>
    <row r="29" spans="1:127" x14ac:dyDescent="0.25">
      <c r="A29" s="1">
        <v>45993.488988333331</v>
      </c>
      <c r="B29" s="1">
        <v>46005.296106099537</v>
      </c>
      <c r="F29" t="s">
        <v>63</v>
      </c>
      <c r="H29" t="s">
        <v>85</v>
      </c>
      <c r="I29" s="1">
        <v>45993</v>
      </c>
      <c r="J29" t="s">
        <v>566</v>
      </c>
      <c r="K29" t="s">
        <v>567</v>
      </c>
      <c r="L29">
        <v>-2.3514780000000002</v>
      </c>
      <c r="M29">
        <v>37.960855000000002</v>
      </c>
      <c r="N29">
        <v>860.09999999999991</v>
      </c>
      <c r="O29">
        <v>7.3000001907348633</v>
      </c>
      <c r="Q29" t="s">
        <v>568</v>
      </c>
      <c r="R29" t="s">
        <v>20</v>
      </c>
      <c r="S29" t="s">
        <v>228</v>
      </c>
      <c r="U29">
        <v>2</v>
      </c>
      <c r="V29">
        <v>3</v>
      </c>
      <c r="W29">
        <v>741140185</v>
      </c>
      <c r="X29" t="s">
        <v>150</v>
      </c>
      <c r="Y29" t="s">
        <v>67</v>
      </c>
      <c r="AA29" t="s">
        <v>68</v>
      </c>
      <c r="AB29">
        <v>1</v>
      </c>
      <c r="AC29">
        <v>1</v>
      </c>
      <c r="AD29">
        <v>1</v>
      </c>
      <c r="AE29">
        <v>0</v>
      </c>
      <c r="AG29" t="s">
        <v>69</v>
      </c>
      <c r="AH29" t="s">
        <v>70</v>
      </c>
      <c r="AI29" t="s">
        <v>172</v>
      </c>
      <c r="AJ29">
        <v>1</v>
      </c>
      <c r="AK29">
        <v>1</v>
      </c>
      <c r="AL29">
        <v>1</v>
      </c>
      <c r="AM29">
        <v>1</v>
      </c>
      <c r="AN29">
        <v>0</v>
      </c>
      <c r="AO29">
        <v>3</v>
      </c>
      <c r="AP29" t="s">
        <v>392</v>
      </c>
      <c r="AQ29">
        <v>1</v>
      </c>
      <c r="AR29">
        <v>0</v>
      </c>
      <c r="AS29">
        <v>1</v>
      </c>
      <c r="AT29">
        <v>0</v>
      </c>
      <c r="AU29">
        <v>1</v>
      </c>
      <c r="AV29">
        <v>0</v>
      </c>
      <c r="AX29" t="s">
        <v>115</v>
      </c>
      <c r="AY29">
        <v>1</v>
      </c>
      <c r="AZ29">
        <v>1</v>
      </c>
      <c r="BA29">
        <v>1</v>
      </c>
      <c r="BB29">
        <v>1</v>
      </c>
      <c r="BC29">
        <v>1</v>
      </c>
      <c r="BD29">
        <v>1</v>
      </c>
      <c r="BE29">
        <v>1</v>
      </c>
      <c r="BF29">
        <v>1</v>
      </c>
      <c r="BG29">
        <v>0</v>
      </c>
      <c r="BJ29" t="s">
        <v>569</v>
      </c>
      <c r="BK29">
        <v>1</v>
      </c>
      <c r="BL29">
        <v>1</v>
      </c>
      <c r="BM29">
        <v>0</v>
      </c>
      <c r="BN29">
        <v>1</v>
      </c>
      <c r="BO29">
        <v>0</v>
      </c>
      <c r="BP29">
        <v>0</v>
      </c>
      <c r="BQ29">
        <v>0</v>
      </c>
      <c r="BR29">
        <v>0</v>
      </c>
      <c r="BS29">
        <v>0</v>
      </c>
      <c r="BT29">
        <v>0</v>
      </c>
      <c r="BU29">
        <v>0</v>
      </c>
      <c r="BV29">
        <v>0</v>
      </c>
      <c r="BW29">
        <v>0</v>
      </c>
      <c r="BX29">
        <v>0</v>
      </c>
      <c r="BY29">
        <v>0</v>
      </c>
      <c r="BZ29">
        <v>0</v>
      </c>
      <c r="CA29">
        <v>0</v>
      </c>
      <c r="CB29">
        <v>0</v>
      </c>
      <c r="CC29">
        <v>1</v>
      </c>
      <c r="CD29">
        <v>0</v>
      </c>
      <c r="CE29">
        <v>0</v>
      </c>
      <c r="CF29">
        <v>0</v>
      </c>
      <c r="CG29">
        <v>0</v>
      </c>
      <c r="CH29">
        <v>0</v>
      </c>
      <c r="CI29">
        <v>0</v>
      </c>
      <c r="CJ29">
        <v>0</v>
      </c>
      <c r="CK29">
        <v>0</v>
      </c>
      <c r="CL29">
        <v>1</v>
      </c>
      <c r="CM29">
        <v>0</v>
      </c>
      <c r="CO29" t="s">
        <v>98</v>
      </c>
      <c r="CP29" t="s">
        <v>570</v>
      </c>
      <c r="CQ29" t="s">
        <v>100</v>
      </c>
      <c r="CR29" t="s">
        <v>571</v>
      </c>
      <c r="CS29" t="s">
        <v>94</v>
      </c>
      <c r="CT29" t="s">
        <v>572</v>
      </c>
      <c r="CU29" t="s">
        <v>102</v>
      </c>
      <c r="CV29" t="s">
        <v>573</v>
      </c>
      <c r="CW29" t="s">
        <v>138</v>
      </c>
      <c r="CX29" t="s">
        <v>574</v>
      </c>
      <c r="CY29" t="s">
        <v>528</v>
      </c>
      <c r="CZ29" t="s">
        <v>575</v>
      </c>
      <c r="DB29" t="s">
        <v>74</v>
      </c>
      <c r="DC29" t="s">
        <v>80</v>
      </c>
      <c r="DD29">
        <v>0</v>
      </c>
      <c r="DE29">
        <v>0</v>
      </c>
      <c r="DF29">
        <v>1</v>
      </c>
      <c r="DG29">
        <v>0</v>
      </c>
      <c r="DH29">
        <v>0</v>
      </c>
      <c r="DJ29" t="s">
        <v>576</v>
      </c>
      <c r="DK29" t="s">
        <v>577</v>
      </c>
      <c r="DL29" t="s">
        <v>578</v>
      </c>
      <c r="DM29">
        <v>629522601</v>
      </c>
      <c r="DN29" t="s">
        <v>579</v>
      </c>
      <c r="DO29" s="1">
        <v>46005.171122685177</v>
      </c>
      <c r="DR29" t="s">
        <v>62</v>
      </c>
      <c r="DT29" t="s">
        <v>76</v>
      </c>
      <c r="DV29" t="s">
        <v>580</v>
      </c>
      <c r="DW29">
        <v>40</v>
      </c>
    </row>
    <row r="30" spans="1:127" x14ac:dyDescent="0.25">
      <c r="A30" s="1">
        <v>45993.61503040509</v>
      </c>
      <c r="B30" s="1">
        <v>46005.297696516202</v>
      </c>
      <c r="F30" t="s">
        <v>63</v>
      </c>
      <c r="H30" t="s">
        <v>85</v>
      </c>
      <c r="I30" s="1">
        <v>45993</v>
      </c>
      <c r="J30" t="s">
        <v>517</v>
      </c>
      <c r="K30" t="s">
        <v>581</v>
      </c>
      <c r="L30">
        <v>-2.3691680000000002</v>
      </c>
      <c r="M30">
        <v>37.991407000000002</v>
      </c>
      <c r="N30">
        <v>834</v>
      </c>
      <c r="O30">
        <v>8.8999996185302734</v>
      </c>
      <c r="Q30" t="s">
        <v>582</v>
      </c>
      <c r="R30" t="s">
        <v>64</v>
      </c>
      <c r="S30" t="s">
        <v>228</v>
      </c>
      <c r="U30">
        <v>2</v>
      </c>
      <c r="V30">
        <v>4</v>
      </c>
      <c r="X30" t="s">
        <v>282</v>
      </c>
      <c r="Y30" t="s">
        <v>247</v>
      </c>
      <c r="AA30" t="s">
        <v>68</v>
      </c>
      <c r="AB30">
        <v>1</v>
      </c>
      <c r="AC30">
        <v>1</v>
      </c>
      <c r="AD30">
        <v>1</v>
      </c>
      <c r="AE30">
        <v>0</v>
      </c>
      <c r="AG30" t="s">
        <v>90</v>
      </c>
      <c r="AH30" t="s">
        <v>70</v>
      </c>
      <c r="AI30" t="s">
        <v>230</v>
      </c>
      <c r="AJ30">
        <v>1</v>
      </c>
      <c r="AK30">
        <v>1</v>
      </c>
      <c r="AL30">
        <v>0</v>
      </c>
      <c r="AM30">
        <v>1</v>
      </c>
      <c r="AN30">
        <v>0</v>
      </c>
      <c r="AP30" t="s">
        <v>91</v>
      </c>
      <c r="AQ30">
        <v>1</v>
      </c>
      <c r="AR30">
        <v>0</v>
      </c>
      <c r="AS30">
        <v>1</v>
      </c>
      <c r="AT30">
        <v>0</v>
      </c>
      <c r="AU30">
        <v>0</v>
      </c>
      <c r="AV30">
        <v>0</v>
      </c>
      <c r="AX30" t="s">
        <v>115</v>
      </c>
      <c r="AY30">
        <v>1</v>
      </c>
      <c r="AZ30">
        <v>1</v>
      </c>
      <c r="BA30">
        <v>1</v>
      </c>
      <c r="BB30">
        <v>1</v>
      </c>
      <c r="BC30">
        <v>1</v>
      </c>
      <c r="BD30">
        <v>1</v>
      </c>
      <c r="BE30">
        <v>1</v>
      </c>
      <c r="BF30">
        <v>1</v>
      </c>
      <c r="BG30">
        <v>0</v>
      </c>
      <c r="BJ30" t="s">
        <v>583</v>
      </c>
      <c r="BK30">
        <v>1</v>
      </c>
      <c r="BL30">
        <v>1</v>
      </c>
      <c r="BM30">
        <v>0</v>
      </c>
      <c r="BN30">
        <v>1</v>
      </c>
      <c r="BO30">
        <v>1</v>
      </c>
      <c r="BP30">
        <v>0</v>
      </c>
      <c r="BQ30">
        <v>1</v>
      </c>
      <c r="BR30">
        <v>0</v>
      </c>
      <c r="BS30">
        <v>0</v>
      </c>
      <c r="BT30">
        <v>0</v>
      </c>
      <c r="BU30">
        <v>0</v>
      </c>
      <c r="BV30">
        <v>0</v>
      </c>
      <c r="BW30">
        <v>0</v>
      </c>
      <c r="BX30">
        <v>1</v>
      </c>
      <c r="BY30">
        <v>0</v>
      </c>
      <c r="BZ30">
        <v>0</v>
      </c>
      <c r="CA30">
        <v>0</v>
      </c>
      <c r="CB30">
        <v>0</v>
      </c>
      <c r="CC30">
        <v>1</v>
      </c>
      <c r="CD30">
        <v>0</v>
      </c>
      <c r="CE30">
        <v>0</v>
      </c>
      <c r="CF30">
        <v>0</v>
      </c>
      <c r="CG30">
        <v>0</v>
      </c>
      <c r="CH30">
        <v>1</v>
      </c>
      <c r="CI30">
        <v>0</v>
      </c>
      <c r="CJ30">
        <v>0</v>
      </c>
      <c r="CK30">
        <v>1</v>
      </c>
      <c r="CL30">
        <v>1</v>
      </c>
      <c r="CM30">
        <v>0</v>
      </c>
      <c r="CO30" t="s">
        <v>98</v>
      </c>
      <c r="CP30" t="s">
        <v>584</v>
      </c>
      <c r="CQ30" t="s">
        <v>100</v>
      </c>
      <c r="CR30" t="s">
        <v>585</v>
      </c>
      <c r="CS30" t="s">
        <v>94</v>
      </c>
      <c r="CT30" t="s">
        <v>586</v>
      </c>
      <c r="CU30" t="s">
        <v>102</v>
      </c>
      <c r="CV30" t="s">
        <v>587</v>
      </c>
      <c r="CW30" t="s">
        <v>253</v>
      </c>
      <c r="CX30" t="s">
        <v>588</v>
      </c>
      <c r="CY30" t="s">
        <v>589</v>
      </c>
      <c r="CZ30" t="s">
        <v>590</v>
      </c>
      <c r="DB30" t="s">
        <v>74</v>
      </c>
      <c r="DC30" t="s">
        <v>80</v>
      </c>
      <c r="DD30">
        <v>0</v>
      </c>
      <c r="DE30">
        <v>0</v>
      </c>
      <c r="DF30">
        <v>1</v>
      </c>
      <c r="DG30">
        <v>0</v>
      </c>
      <c r="DH30">
        <v>0</v>
      </c>
      <c r="DJ30" t="s">
        <v>591</v>
      </c>
      <c r="DK30" t="s">
        <v>592</v>
      </c>
      <c r="DL30" t="s">
        <v>593</v>
      </c>
      <c r="DM30">
        <v>629522998</v>
      </c>
      <c r="DN30" t="s">
        <v>594</v>
      </c>
      <c r="DO30" s="1">
        <v>46005.172731481478</v>
      </c>
      <c r="DR30" t="s">
        <v>62</v>
      </c>
      <c r="DT30" t="s">
        <v>76</v>
      </c>
      <c r="DV30" t="s">
        <v>595</v>
      </c>
      <c r="DW30">
        <v>41</v>
      </c>
    </row>
    <row r="31" spans="1:127" x14ac:dyDescent="0.25">
      <c r="A31" s="1">
        <v>45993.659229826393</v>
      </c>
      <c r="B31" s="1">
        <v>46005.299306053239</v>
      </c>
      <c r="F31" t="s">
        <v>63</v>
      </c>
      <c r="H31" t="s">
        <v>85</v>
      </c>
      <c r="I31" s="1">
        <v>45994</v>
      </c>
      <c r="J31" t="s">
        <v>596</v>
      </c>
      <c r="K31" t="s">
        <v>597</v>
      </c>
      <c r="L31">
        <v>-2.2775280000000002</v>
      </c>
      <c r="M31">
        <v>38.027372</v>
      </c>
      <c r="N31">
        <v>767.30000000000007</v>
      </c>
      <c r="O31">
        <v>5.5</v>
      </c>
      <c r="Q31" t="s">
        <v>598</v>
      </c>
      <c r="R31" t="s">
        <v>64</v>
      </c>
      <c r="S31" t="s">
        <v>317</v>
      </c>
      <c r="U31">
        <v>3</v>
      </c>
      <c r="V31">
        <v>1</v>
      </c>
      <c r="W31">
        <v>721540508</v>
      </c>
      <c r="X31" t="s">
        <v>150</v>
      </c>
      <c r="Y31" t="s">
        <v>78</v>
      </c>
      <c r="AA31" t="s">
        <v>191</v>
      </c>
      <c r="AB31">
        <v>1</v>
      </c>
      <c r="AC31">
        <v>0</v>
      </c>
      <c r="AD31">
        <v>1</v>
      </c>
      <c r="AE31">
        <v>1</v>
      </c>
      <c r="AF31" t="s">
        <v>152</v>
      </c>
      <c r="AG31" t="s">
        <v>69</v>
      </c>
      <c r="AH31" t="s">
        <v>70</v>
      </c>
      <c r="AI31" t="s">
        <v>79</v>
      </c>
      <c r="AJ31">
        <v>0</v>
      </c>
      <c r="AK31">
        <v>0</v>
      </c>
      <c r="AL31">
        <v>0</v>
      </c>
      <c r="AM31">
        <v>1</v>
      </c>
      <c r="AN31">
        <v>0</v>
      </c>
      <c r="AO31">
        <v>52</v>
      </c>
      <c r="AP31" t="s">
        <v>72</v>
      </c>
      <c r="AQ31">
        <v>1</v>
      </c>
      <c r="AR31">
        <v>0</v>
      </c>
      <c r="AS31">
        <v>0</v>
      </c>
      <c r="AT31">
        <v>0</v>
      </c>
      <c r="AU31">
        <v>1</v>
      </c>
      <c r="AV31">
        <v>0</v>
      </c>
      <c r="AX31" t="s">
        <v>599</v>
      </c>
      <c r="AY31">
        <v>1</v>
      </c>
      <c r="AZ31">
        <v>1</v>
      </c>
      <c r="BA31">
        <v>0</v>
      </c>
      <c r="BB31">
        <v>1</v>
      </c>
      <c r="BC31">
        <v>1</v>
      </c>
      <c r="BD31">
        <v>0</v>
      </c>
      <c r="BE31">
        <v>1</v>
      </c>
      <c r="BF31">
        <v>1</v>
      </c>
      <c r="BG31">
        <v>0</v>
      </c>
      <c r="BJ31" t="s">
        <v>600</v>
      </c>
      <c r="BK31">
        <v>0</v>
      </c>
      <c r="BL31">
        <v>1</v>
      </c>
      <c r="BM31">
        <v>0</v>
      </c>
      <c r="BN31">
        <v>1</v>
      </c>
      <c r="BO31">
        <v>1</v>
      </c>
      <c r="BP31">
        <v>1</v>
      </c>
      <c r="BQ31">
        <v>0</v>
      </c>
      <c r="BR31">
        <v>0</v>
      </c>
      <c r="BS31">
        <v>0</v>
      </c>
      <c r="BT31">
        <v>0</v>
      </c>
      <c r="BU31">
        <v>0</v>
      </c>
      <c r="BV31">
        <v>0</v>
      </c>
      <c r="BW31">
        <v>0</v>
      </c>
      <c r="BX31">
        <v>0</v>
      </c>
      <c r="BY31">
        <v>1</v>
      </c>
      <c r="BZ31">
        <v>0</v>
      </c>
      <c r="CA31">
        <v>0</v>
      </c>
      <c r="CB31">
        <v>0</v>
      </c>
      <c r="CC31">
        <v>1</v>
      </c>
      <c r="CD31">
        <v>1</v>
      </c>
      <c r="CE31">
        <v>0</v>
      </c>
      <c r="CF31">
        <v>0</v>
      </c>
      <c r="CG31">
        <v>0</v>
      </c>
      <c r="CH31">
        <v>1</v>
      </c>
      <c r="CI31">
        <v>0</v>
      </c>
      <c r="CJ31">
        <v>0</v>
      </c>
      <c r="CK31">
        <v>1</v>
      </c>
      <c r="CL31">
        <v>1</v>
      </c>
      <c r="CM31">
        <v>0</v>
      </c>
      <c r="CO31" t="s">
        <v>94</v>
      </c>
      <c r="CP31" t="s">
        <v>601</v>
      </c>
      <c r="CQ31" t="s">
        <v>98</v>
      </c>
      <c r="CR31" t="s">
        <v>602</v>
      </c>
      <c r="CS31" t="s">
        <v>100</v>
      </c>
      <c r="CT31" t="s">
        <v>603</v>
      </c>
      <c r="CU31" t="s">
        <v>102</v>
      </c>
      <c r="CV31" t="s">
        <v>604</v>
      </c>
      <c r="CW31" t="s">
        <v>605</v>
      </c>
      <c r="CX31" t="s">
        <v>606</v>
      </c>
      <c r="CY31" t="s">
        <v>607</v>
      </c>
      <c r="CZ31" t="s">
        <v>608</v>
      </c>
      <c r="DB31" t="s">
        <v>74</v>
      </c>
      <c r="DC31" t="s">
        <v>80</v>
      </c>
      <c r="DD31">
        <v>0</v>
      </c>
      <c r="DE31">
        <v>0</v>
      </c>
      <c r="DF31">
        <v>1</v>
      </c>
      <c r="DG31">
        <v>0</v>
      </c>
      <c r="DH31">
        <v>0</v>
      </c>
      <c r="DJ31" t="s">
        <v>609</v>
      </c>
      <c r="DK31" t="s">
        <v>610</v>
      </c>
      <c r="DL31" t="s">
        <v>611</v>
      </c>
      <c r="DM31">
        <v>629523426</v>
      </c>
      <c r="DN31" t="s">
        <v>612</v>
      </c>
      <c r="DO31" s="1">
        <v>46005.174328703702</v>
      </c>
      <c r="DR31" t="s">
        <v>62</v>
      </c>
      <c r="DT31" t="s">
        <v>76</v>
      </c>
      <c r="DV31" t="s">
        <v>613</v>
      </c>
      <c r="DW31">
        <v>42</v>
      </c>
    </row>
    <row r="32" spans="1:127" x14ac:dyDescent="0.25">
      <c r="A32" s="1">
        <v>45994.471075046298</v>
      </c>
      <c r="B32" s="1">
        <v>46005.300372372687</v>
      </c>
      <c r="F32" t="s">
        <v>63</v>
      </c>
      <c r="H32" t="s">
        <v>85</v>
      </c>
      <c r="I32" s="1">
        <v>45994</v>
      </c>
      <c r="J32" t="s">
        <v>614</v>
      </c>
      <c r="K32" t="s">
        <v>615</v>
      </c>
      <c r="L32">
        <v>-2.2705649999999999</v>
      </c>
      <c r="M32">
        <v>38.023947</v>
      </c>
      <c r="N32">
        <v>767.80000000000007</v>
      </c>
      <c r="O32">
        <v>12.10000038146973</v>
      </c>
      <c r="Q32" t="s">
        <v>616</v>
      </c>
      <c r="R32" t="s">
        <v>20</v>
      </c>
      <c r="S32" t="s">
        <v>89</v>
      </c>
      <c r="U32">
        <v>2</v>
      </c>
      <c r="V32">
        <v>3</v>
      </c>
      <c r="W32">
        <v>724743094</v>
      </c>
      <c r="X32" t="s">
        <v>617</v>
      </c>
      <c r="Y32" t="s">
        <v>247</v>
      </c>
      <c r="AA32" t="s">
        <v>68</v>
      </c>
      <c r="AB32">
        <v>1</v>
      </c>
      <c r="AC32">
        <v>1</v>
      </c>
      <c r="AD32">
        <v>1</v>
      </c>
      <c r="AE32">
        <v>0</v>
      </c>
      <c r="AG32" t="s">
        <v>90</v>
      </c>
      <c r="AH32" t="s">
        <v>70</v>
      </c>
      <c r="AI32" t="s">
        <v>113</v>
      </c>
      <c r="AJ32">
        <v>1</v>
      </c>
      <c r="AK32">
        <v>0</v>
      </c>
      <c r="AL32">
        <v>1</v>
      </c>
      <c r="AM32">
        <v>1</v>
      </c>
      <c r="AN32">
        <v>0</v>
      </c>
      <c r="AP32" t="s">
        <v>91</v>
      </c>
      <c r="AQ32">
        <v>1</v>
      </c>
      <c r="AR32">
        <v>0</v>
      </c>
      <c r="AS32">
        <v>1</v>
      </c>
      <c r="AT32">
        <v>0</v>
      </c>
      <c r="AU32">
        <v>0</v>
      </c>
      <c r="AV32">
        <v>0</v>
      </c>
      <c r="AX32" t="s">
        <v>115</v>
      </c>
      <c r="AY32">
        <v>1</v>
      </c>
      <c r="AZ32">
        <v>1</v>
      </c>
      <c r="BA32">
        <v>1</v>
      </c>
      <c r="BB32">
        <v>1</v>
      </c>
      <c r="BC32">
        <v>1</v>
      </c>
      <c r="BD32">
        <v>1</v>
      </c>
      <c r="BE32">
        <v>1</v>
      </c>
      <c r="BF32">
        <v>1</v>
      </c>
      <c r="BG32">
        <v>0</v>
      </c>
      <c r="BJ32" t="s">
        <v>618</v>
      </c>
      <c r="BK32">
        <v>1</v>
      </c>
      <c r="BL32">
        <v>1</v>
      </c>
      <c r="BM32">
        <v>0</v>
      </c>
      <c r="BN32">
        <v>1</v>
      </c>
      <c r="BO32">
        <v>1</v>
      </c>
      <c r="BP32">
        <v>0</v>
      </c>
      <c r="BQ32">
        <v>0</v>
      </c>
      <c r="BR32">
        <v>0</v>
      </c>
      <c r="BS32">
        <v>0</v>
      </c>
      <c r="BT32">
        <v>0</v>
      </c>
      <c r="BU32">
        <v>0</v>
      </c>
      <c r="BV32">
        <v>0</v>
      </c>
      <c r="BW32">
        <v>1</v>
      </c>
      <c r="BX32">
        <v>0</v>
      </c>
      <c r="BY32">
        <v>0</v>
      </c>
      <c r="BZ32">
        <v>0</v>
      </c>
      <c r="CA32">
        <v>0</v>
      </c>
      <c r="CB32">
        <v>0</v>
      </c>
      <c r="CC32">
        <v>1</v>
      </c>
      <c r="CD32">
        <v>0</v>
      </c>
      <c r="CE32">
        <v>0</v>
      </c>
      <c r="CF32">
        <v>0</v>
      </c>
      <c r="CG32">
        <v>1</v>
      </c>
      <c r="CH32">
        <v>1</v>
      </c>
      <c r="CI32">
        <v>0</v>
      </c>
      <c r="CJ32">
        <v>0</v>
      </c>
      <c r="CK32">
        <v>1</v>
      </c>
      <c r="CL32">
        <v>1</v>
      </c>
      <c r="CM32">
        <v>0</v>
      </c>
      <c r="CO32" t="s">
        <v>94</v>
      </c>
      <c r="CP32" t="s">
        <v>619</v>
      </c>
      <c r="CQ32" t="s">
        <v>98</v>
      </c>
      <c r="CR32" t="s">
        <v>267</v>
      </c>
      <c r="CS32" t="s">
        <v>102</v>
      </c>
      <c r="CT32" t="s">
        <v>620</v>
      </c>
      <c r="CU32" t="s">
        <v>621</v>
      </c>
      <c r="CV32" t="s">
        <v>622</v>
      </c>
      <c r="CW32" t="s">
        <v>138</v>
      </c>
      <c r="CX32" t="s">
        <v>623</v>
      </c>
      <c r="CY32" t="s">
        <v>624</v>
      </c>
      <c r="CZ32" t="s">
        <v>625</v>
      </c>
      <c r="DB32" t="s">
        <v>74</v>
      </c>
      <c r="DC32" t="s">
        <v>626</v>
      </c>
      <c r="DD32">
        <v>1</v>
      </c>
      <c r="DE32">
        <v>0</v>
      </c>
      <c r="DF32">
        <v>1</v>
      </c>
      <c r="DG32">
        <v>0</v>
      </c>
      <c r="DH32">
        <v>0</v>
      </c>
      <c r="DJ32" t="s">
        <v>627</v>
      </c>
      <c r="DK32" t="s">
        <v>628</v>
      </c>
      <c r="DL32" t="s">
        <v>629</v>
      </c>
      <c r="DM32">
        <v>629523760</v>
      </c>
      <c r="DN32" t="s">
        <v>630</v>
      </c>
      <c r="DO32" s="1">
        <v>46005.175393518519</v>
      </c>
      <c r="DR32" t="s">
        <v>62</v>
      </c>
      <c r="DT32" t="s">
        <v>76</v>
      </c>
      <c r="DV32" t="s">
        <v>631</v>
      </c>
      <c r="DW32">
        <v>43</v>
      </c>
    </row>
    <row r="33" spans="1:127" x14ac:dyDescent="0.25">
      <c r="A33" s="1">
        <v>45994.547828645831</v>
      </c>
      <c r="B33" s="1">
        <v>46005.301566562499</v>
      </c>
      <c r="F33" t="s">
        <v>63</v>
      </c>
      <c r="H33" t="s">
        <v>85</v>
      </c>
      <c r="I33" s="1">
        <v>45994</v>
      </c>
      <c r="J33" t="s">
        <v>632</v>
      </c>
      <c r="K33" t="s">
        <v>633</v>
      </c>
      <c r="L33">
        <v>-2.267655</v>
      </c>
      <c r="M33">
        <v>38.031067</v>
      </c>
      <c r="N33">
        <v>757.90000000000009</v>
      </c>
      <c r="O33">
        <v>9.3999996185302734</v>
      </c>
      <c r="Q33" t="s">
        <v>634</v>
      </c>
      <c r="R33" t="s">
        <v>20</v>
      </c>
      <c r="S33" t="s">
        <v>317</v>
      </c>
      <c r="U33">
        <v>3</v>
      </c>
      <c r="V33">
        <v>6</v>
      </c>
      <c r="W33">
        <v>708822457</v>
      </c>
      <c r="X33" t="s">
        <v>150</v>
      </c>
      <c r="Y33" t="s">
        <v>78</v>
      </c>
      <c r="AA33" t="s">
        <v>68</v>
      </c>
      <c r="AB33">
        <v>1</v>
      </c>
      <c r="AC33">
        <v>1</v>
      </c>
      <c r="AD33">
        <v>1</v>
      </c>
      <c r="AE33">
        <v>0</v>
      </c>
      <c r="AG33" t="s">
        <v>90</v>
      </c>
      <c r="AH33" t="s">
        <v>70</v>
      </c>
      <c r="AI33" t="s">
        <v>284</v>
      </c>
      <c r="AJ33">
        <v>1</v>
      </c>
      <c r="AK33">
        <v>0</v>
      </c>
      <c r="AL33">
        <v>0</v>
      </c>
      <c r="AM33">
        <v>1</v>
      </c>
      <c r="AN33">
        <v>0</v>
      </c>
      <c r="AP33" t="s">
        <v>91</v>
      </c>
      <c r="AQ33">
        <v>1</v>
      </c>
      <c r="AR33">
        <v>0</v>
      </c>
      <c r="AS33">
        <v>1</v>
      </c>
      <c r="AT33">
        <v>0</v>
      </c>
      <c r="AU33">
        <v>0</v>
      </c>
      <c r="AV33">
        <v>0</v>
      </c>
      <c r="AX33" t="s">
        <v>115</v>
      </c>
      <c r="AY33">
        <v>1</v>
      </c>
      <c r="AZ33">
        <v>1</v>
      </c>
      <c r="BA33">
        <v>1</v>
      </c>
      <c r="BB33">
        <v>1</v>
      </c>
      <c r="BC33">
        <v>1</v>
      </c>
      <c r="BD33">
        <v>1</v>
      </c>
      <c r="BE33">
        <v>1</v>
      </c>
      <c r="BF33">
        <v>1</v>
      </c>
      <c r="BG33">
        <v>0</v>
      </c>
      <c r="BJ33" t="s">
        <v>635</v>
      </c>
      <c r="BK33">
        <v>1</v>
      </c>
      <c r="BL33">
        <v>1</v>
      </c>
      <c r="BM33">
        <v>0</v>
      </c>
      <c r="BN33">
        <v>1</v>
      </c>
      <c r="BO33">
        <v>1</v>
      </c>
      <c r="BP33">
        <v>0</v>
      </c>
      <c r="BQ33">
        <v>0</v>
      </c>
      <c r="BR33">
        <v>0</v>
      </c>
      <c r="BS33">
        <v>0</v>
      </c>
      <c r="BT33">
        <v>0</v>
      </c>
      <c r="BU33">
        <v>0</v>
      </c>
      <c r="BV33">
        <v>0</v>
      </c>
      <c r="BW33">
        <v>1</v>
      </c>
      <c r="BX33">
        <v>0</v>
      </c>
      <c r="BY33">
        <v>0</v>
      </c>
      <c r="BZ33">
        <v>0</v>
      </c>
      <c r="CA33">
        <v>0</v>
      </c>
      <c r="CB33">
        <v>0</v>
      </c>
      <c r="CC33">
        <v>1</v>
      </c>
      <c r="CD33">
        <v>1</v>
      </c>
      <c r="CE33">
        <v>0</v>
      </c>
      <c r="CF33">
        <v>0</v>
      </c>
      <c r="CG33">
        <v>1</v>
      </c>
      <c r="CH33">
        <v>0</v>
      </c>
      <c r="CI33">
        <v>0</v>
      </c>
      <c r="CJ33">
        <v>0</v>
      </c>
      <c r="CK33">
        <v>1</v>
      </c>
      <c r="CL33">
        <v>1</v>
      </c>
      <c r="CM33">
        <v>0</v>
      </c>
      <c r="CO33" t="s">
        <v>94</v>
      </c>
      <c r="CP33" t="s">
        <v>636</v>
      </c>
      <c r="CQ33" t="s">
        <v>102</v>
      </c>
      <c r="CR33" t="s">
        <v>637</v>
      </c>
      <c r="CS33" t="s">
        <v>98</v>
      </c>
      <c r="CT33" t="s">
        <v>638</v>
      </c>
      <c r="CU33" t="s">
        <v>253</v>
      </c>
      <c r="CV33" t="s">
        <v>639</v>
      </c>
      <c r="CW33" t="s">
        <v>138</v>
      </c>
      <c r="CX33" t="s">
        <v>640</v>
      </c>
      <c r="CY33" t="s">
        <v>641</v>
      </c>
      <c r="CZ33" t="s">
        <v>642</v>
      </c>
      <c r="DB33" t="s">
        <v>74</v>
      </c>
      <c r="DC33" t="s">
        <v>80</v>
      </c>
      <c r="DD33">
        <v>0</v>
      </c>
      <c r="DE33">
        <v>0</v>
      </c>
      <c r="DF33">
        <v>1</v>
      </c>
      <c r="DG33">
        <v>0</v>
      </c>
      <c r="DH33">
        <v>0</v>
      </c>
      <c r="DJ33" t="s">
        <v>643</v>
      </c>
      <c r="DK33" t="s">
        <v>644</v>
      </c>
      <c r="DL33" t="s">
        <v>645</v>
      </c>
      <c r="DM33">
        <v>629524119</v>
      </c>
      <c r="DN33" t="s">
        <v>646</v>
      </c>
      <c r="DO33" s="1">
        <v>46005.176585648151</v>
      </c>
      <c r="DR33" t="s">
        <v>62</v>
      </c>
      <c r="DT33" t="s">
        <v>76</v>
      </c>
      <c r="DV33" t="s">
        <v>647</v>
      </c>
      <c r="DW33">
        <v>44</v>
      </c>
    </row>
    <row r="34" spans="1:127" x14ac:dyDescent="0.25">
      <c r="A34" s="1">
        <v>45996.403425636578</v>
      </c>
      <c r="B34" s="1">
        <v>46005.303065115739</v>
      </c>
      <c r="F34" t="s">
        <v>63</v>
      </c>
      <c r="H34" t="s">
        <v>85</v>
      </c>
      <c r="I34" s="1">
        <v>45996</v>
      </c>
      <c r="J34" t="s">
        <v>648</v>
      </c>
      <c r="K34" t="s">
        <v>649</v>
      </c>
      <c r="L34">
        <v>-2.404925</v>
      </c>
      <c r="M34">
        <v>38.085234999999997</v>
      </c>
      <c r="N34">
        <v>746</v>
      </c>
      <c r="O34">
        <v>77.900001525878906</v>
      </c>
      <c r="Q34" t="s">
        <v>650</v>
      </c>
      <c r="R34" t="s">
        <v>20</v>
      </c>
      <c r="S34" t="s">
        <v>190</v>
      </c>
      <c r="U34">
        <v>2</v>
      </c>
      <c r="V34">
        <v>4</v>
      </c>
      <c r="W34">
        <v>707676253</v>
      </c>
      <c r="X34" t="s">
        <v>150</v>
      </c>
      <c r="Y34" t="s">
        <v>247</v>
      </c>
      <c r="AA34" t="s">
        <v>68</v>
      </c>
      <c r="AB34">
        <v>1</v>
      </c>
      <c r="AC34">
        <v>1</v>
      </c>
      <c r="AD34">
        <v>1</v>
      </c>
      <c r="AE34">
        <v>0</v>
      </c>
      <c r="AG34" t="s">
        <v>90</v>
      </c>
      <c r="AH34" t="s">
        <v>70</v>
      </c>
      <c r="AI34" t="s">
        <v>113</v>
      </c>
      <c r="AJ34">
        <v>1</v>
      </c>
      <c r="AK34">
        <v>0</v>
      </c>
      <c r="AL34">
        <v>1</v>
      </c>
      <c r="AM34">
        <v>1</v>
      </c>
      <c r="AN34">
        <v>0</v>
      </c>
      <c r="AP34" t="s">
        <v>91</v>
      </c>
      <c r="AQ34">
        <v>1</v>
      </c>
      <c r="AR34">
        <v>0</v>
      </c>
      <c r="AS34">
        <v>1</v>
      </c>
      <c r="AT34">
        <v>0</v>
      </c>
      <c r="AU34">
        <v>0</v>
      </c>
      <c r="AV34">
        <v>0</v>
      </c>
      <c r="AX34" t="s">
        <v>115</v>
      </c>
      <c r="AY34">
        <v>1</v>
      </c>
      <c r="AZ34">
        <v>1</v>
      </c>
      <c r="BA34">
        <v>1</v>
      </c>
      <c r="BB34">
        <v>1</v>
      </c>
      <c r="BC34">
        <v>1</v>
      </c>
      <c r="BD34">
        <v>1</v>
      </c>
      <c r="BE34">
        <v>1</v>
      </c>
      <c r="BF34">
        <v>1</v>
      </c>
      <c r="BG34">
        <v>0</v>
      </c>
      <c r="BJ34" t="s">
        <v>651</v>
      </c>
      <c r="BK34">
        <v>1</v>
      </c>
      <c r="BL34">
        <v>1</v>
      </c>
      <c r="BM34">
        <v>0</v>
      </c>
      <c r="BN34">
        <v>0</v>
      </c>
      <c r="BO34">
        <v>1</v>
      </c>
      <c r="BP34">
        <v>0</v>
      </c>
      <c r="BQ34">
        <v>0</v>
      </c>
      <c r="BR34">
        <v>1</v>
      </c>
      <c r="BS34">
        <v>0</v>
      </c>
      <c r="BT34">
        <v>0</v>
      </c>
      <c r="BU34">
        <v>0</v>
      </c>
      <c r="BV34">
        <v>0</v>
      </c>
      <c r="BW34">
        <v>0</v>
      </c>
      <c r="BX34">
        <v>0</v>
      </c>
      <c r="BY34">
        <v>1</v>
      </c>
      <c r="BZ34">
        <v>0</v>
      </c>
      <c r="CA34">
        <v>0</v>
      </c>
      <c r="CB34">
        <v>0</v>
      </c>
      <c r="CC34">
        <v>1</v>
      </c>
      <c r="CD34">
        <v>1</v>
      </c>
      <c r="CE34">
        <v>0</v>
      </c>
      <c r="CF34">
        <v>0</v>
      </c>
      <c r="CG34">
        <v>1</v>
      </c>
      <c r="CH34">
        <v>0</v>
      </c>
      <c r="CI34">
        <v>0</v>
      </c>
      <c r="CJ34">
        <v>0</v>
      </c>
      <c r="CK34">
        <v>1</v>
      </c>
      <c r="CL34">
        <v>1</v>
      </c>
      <c r="CM34">
        <v>0</v>
      </c>
      <c r="CO34" t="s">
        <v>98</v>
      </c>
      <c r="CP34" t="s">
        <v>652</v>
      </c>
      <c r="CQ34" t="s">
        <v>178</v>
      </c>
      <c r="CR34" t="s">
        <v>653</v>
      </c>
      <c r="CS34" t="s">
        <v>654</v>
      </c>
      <c r="CT34" t="s">
        <v>655</v>
      </c>
      <c r="CU34" t="s">
        <v>94</v>
      </c>
      <c r="CV34" t="s">
        <v>656</v>
      </c>
      <c r="CW34" t="s">
        <v>605</v>
      </c>
      <c r="CX34" t="s">
        <v>657</v>
      </c>
      <c r="CY34" t="s">
        <v>658</v>
      </c>
      <c r="CZ34" t="s">
        <v>659</v>
      </c>
      <c r="DB34" t="s">
        <v>74</v>
      </c>
      <c r="DC34" t="s">
        <v>80</v>
      </c>
      <c r="DD34">
        <v>0</v>
      </c>
      <c r="DE34">
        <v>0</v>
      </c>
      <c r="DF34">
        <v>1</v>
      </c>
      <c r="DG34">
        <v>0</v>
      </c>
      <c r="DH34">
        <v>0</v>
      </c>
      <c r="DJ34" t="s">
        <v>660</v>
      </c>
      <c r="DK34" t="s">
        <v>661</v>
      </c>
      <c r="DL34" t="s">
        <v>662</v>
      </c>
      <c r="DM34">
        <v>629524499</v>
      </c>
      <c r="DN34" t="s">
        <v>663</v>
      </c>
      <c r="DO34" s="1">
        <v>46005.178101851852</v>
      </c>
      <c r="DR34" t="s">
        <v>62</v>
      </c>
      <c r="DT34" t="s">
        <v>76</v>
      </c>
      <c r="DV34" t="s">
        <v>664</v>
      </c>
      <c r="DW34">
        <v>45</v>
      </c>
    </row>
    <row r="35" spans="1:127" x14ac:dyDescent="0.25">
      <c r="A35" s="1">
        <v>45996.469617974537</v>
      </c>
      <c r="B35" s="1">
        <v>46005.304636932873</v>
      </c>
      <c r="F35" t="s">
        <v>63</v>
      </c>
      <c r="H35" t="s">
        <v>85</v>
      </c>
      <c r="I35" s="1">
        <v>45996</v>
      </c>
      <c r="J35" t="s">
        <v>665</v>
      </c>
      <c r="K35" t="s">
        <v>666</v>
      </c>
      <c r="L35">
        <v>-2.4060169999999999</v>
      </c>
      <c r="M35">
        <v>38.092958000000003</v>
      </c>
      <c r="N35">
        <v>752.4</v>
      </c>
      <c r="O35">
        <v>16.5</v>
      </c>
      <c r="Q35" t="s">
        <v>667</v>
      </c>
      <c r="R35" t="s">
        <v>20</v>
      </c>
      <c r="S35" t="s">
        <v>190</v>
      </c>
      <c r="U35">
        <v>3</v>
      </c>
      <c r="V35">
        <v>2</v>
      </c>
      <c r="W35">
        <v>727016758</v>
      </c>
      <c r="X35" t="s">
        <v>150</v>
      </c>
      <c r="Y35" t="s">
        <v>67</v>
      </c>
      <c r="AA35" t="s">
        <v>68</v>
      </c>
      <c r="AB35">
        <v>1</v>
      </c>
      <c r="AC35">
        <v>1</v>
      </c>
      <c r="AD35">
        <v>1</v>
      </c>
      <c r="AE35">
        <v>0</v>
      </c>
      <c r="AG35" t="s">
        <v>90</v>
      </c>
      <c r="AH35" t="s">
        <v>70</v>
      </c>
      <c r="AI35" t="s">
        <v>284</v>
      </c>
      <c r="AJ35">
        <v>1</v>
      </c>
      <c r="AK35">
        <v>0</v>
      </c>
      <c r="AL35">
        <v>0</v>
      </c>
      <c r="AM35">
        <v>1</v>
      </c>
      <c r="AN35">
        <v>0</v>
      </c>
      <c r="AP35" t="s">
        <v>91</v>
      </c>
      <c r="AQ35">
        <v>1</v>
      </c>
      <c r="AR35">
        <v>0</v>
      </c>
      <c r="AS35">
        <v>1</v>
      </c>
      <c r="AT35">
        <v>0</v>
      </c>
      <c r="AU35">
        <v>0</v>
      </c>
      <c r="AV35">
        <v>0</v>
      </c>
      <c r="AX35" t="s">
        <v>115</v>
      </c>
      <c r="AY35">
        <v>1</v>
      </c>
      <c r="AZ35">
        <v>1</v>
      </c>
      <c r="BA35">
        <v>1</v>
      </c>
      <c r="BB35">
        <v>1</v>
      </c>
      <c r="BC35">
        <v>1</v>
      </c>
      <c r="BD35">
        <v>1</v>
      </c>
      <c r="BE35">
        <v>1</v>
      </c>
      <c r="BF35">
        <v>1</v>
      </c>
      <c r="BG35">
        <v>0</v>
      </c>
      <c r="BJ35" t="s">
        <v>668</v>
      </c>
      <c r="BK35">
        <v>1</v>
      </c>
      <c r="BL35">
        <v>0</v>
      </c>
      <c r="BM35">
        <v>0</v>
      </c>
      <c r="BN35">
        <v>1</v>
      </c>
      <c r="BO35">
        <v>1</v>
      </c>
      <c r="BP35">
        <v>1</v>
      </c>
      <c r="BQ35">
        <v>0</v>
      </c>
      <c r="BR35">
        <v>0</v>
      </c>
      <c r="BS35">
        <v>0</v>
      </c>
      <c r="BT35">
        <v>0</v>
      </c>
      <c r="BU35">
        <v>0</v>
      </c>
      <c r="BV35">
        <v>0</v>
      </c>
      <c r="BW35">
        <v>1</v>
      </c>
      <c r="BX35">
        <v>0</v>
      </c>
      <c r="BY35">
        <v>1</v>
      </c>
      <c r="BZ35">
        <v>0</v>
      </c>
      <c r="CA35">
        <v>0</v>
      </c>
      <c r="CB35">
        <v>0</v>
      </c>
      <c r="CC35">
        <v>1</v>
      </c>
      <c r="CD35">
        <v>0</v>
      </c>
      <c r="CE35">
        <v>0</v>
      </c>
      <c r="CF35">
        <v>0</v>
      </c>
      <c r="CG35">
        <v>1</v>
      </c>
      <c r="CH35">
        <v>1</v>
      </c>
      <c r="CI35">
        <v>0</v>
      </c>
      <c r="CJ35">
        <v>0</v>
      </c>
      <c r="CK35">
        <v>0</v>
      </c>
      <c r="CL35">
        <v>0</v>
      </c>
      <c r="CM35">
        <v>0</v>
      </c>
      <c r="CO35" t="s">
        <v>102</v>
      </c>
      <c r="CP35" t="s">
        <v>669</v>
      </c>
      <c r="CQ35" t="s">
        <v>94</v>
      </c>
      <c r="CR35" t="s">
        <v>670</v>
      </c>
      <c r="CS35" t="s">
        <v>236</v>
      </c>
      <c r="CT35" t="s">
        <v>671</v>
      </c>
      <c r="CU35" t="s">
        <v>199</v>
      </c>
      <c r="CV35" t="s">
        <v>672</v>
      </c>
      <c r="CW35" t="s">
        <v>253</v>
      </c>
      <c r="CX35" t="s">
        <v>673</v>
      </c>
      <c r="CY35" t="s">
        <v>674</v>
      </c>
      <c r="CZ35" t="s">
        <v>675</v>
      </c>
      <c r="DB35" t="s">
        <v>74</v>
      </c>
      <c r="DC35" t="s">
        <v>80</v>
      </c>
      <c r="DD35">
        <v>0</v>
      </c>
      <c r="DE35">
        <v>0</v>
      </c>
      <c r="DF35">
        <v>1</v>
      </c>
      <c r="DG35">
        <v>0</v>
      </c>
      <c r="DH35">
        <v>0</v>
      </c>
      <c r="DJ35" t="s">
        <v>676</v>
      </c>
      <c r="DK35" t="s">
        <v>677</v>
      </c>
      <c r="DL35" t="s">
        <v>678</v>
      </c>
      <c r="DM35">
        <v>629524898</v>
      </c>
      <c r="DN35" t="s">
        <v>679</v>
      </c>
      <c r="DO35" s="1">
        <v>46005.179652777777</v>
      </c>
      <c r="DR35" t="s">
        <v>62</v>
      </c>
      <c r="DT35" t="s">
        <v>76</v>
      </c>
      <c r="DV35" t="s">
        <v>680</v>
      </c>
      <c r="DW35">
        <v>46</v>
      </c>
    </row>
    <row r="36" spans="1:127" x14ac:dyDescent="0.25">
      <c r="A36" s="1">
        <v>45996.515366087973</v>
      </c>
      <c r="B36" s="1">
        <v>46005.305589039352</v>
      </c>
      <c r="F36" t="s">
        <v>63</v>
      </c>
      <c r="H36" t="s">
        <v>85</v>
      </c>
      <c r="I36" s="1">
        <v>45996</v>
      </c>
      <c r="J36" t="s">
        <v>681</v>
      </c>
      <c r="K36" t="s">
        <v>682</v>
      </c>
      <c r="L36">
        <v>-2.40063</v>
      </c>
      <c r="M36">
        <v>38.096963000000002</v>
      </c>
      <c r="N36">
        <v>733.80000000000007</v>
      </c>
      <c r="O36">
        <v>9.3999996185302734</v>
      </c>
      <c r="Q36" t="s">
        <v>683</v>
      </c>
      <c r="R36" t="s">
        <v>64</v>
      </c>
      <c r="S36" t="s">
        <v>190</v>
      </c>
      <c r="U36">
        <v>4</v>
      </c>
      <c r="V36">
        <v>2</v>
      </c>
      <c r="W36">
        <v>790711610</v>
      </c>
      <c r="X36" t="s">
        <v>150</v>
      </c>
      <c r="Y36" t="s">
        <v>247</v>
      </c>
      <c r="AA36" t="s">
        <v>68</v>
      </c>
      <c r="AB36">
        <v>1</v>
      </c>
      <c r="AC36">
        <v>1</v>
      </c>
      <c r="AD36">
        <v>1</v>
      </c>
      <c r="AE36">
        <v>0</v>
      </c>
      <c r="AG36" t="s">
        <v>90</v>
      </c>
      <c r="AH36" t="s">
        <v>70</v>
      </c>
      <c r="AI36" t="s">
        <v>284</v>
      </c>
      <c r="AJ36">
        <v>1</v>
      </c>
      <c r="AK36">
        <v>0</v>
      </c>
      <c r="AL36">
        <v>0</v>
      </c>
      <c r="AM36">
        <v>1</v>
      </c>
      <c r="AN36">
        <v>0</v>
      </c>
      <c r="AP36" t="s">
        <v>91</v>
      </c>
      <c r="AQ36">
        <v>1</v>
      </c>
      <c r="AR36">
        <v>0</v>
      </c>
      <c r="AS36">
        <v>1</v>
      </c>
      <c r="AT36">
        <v>0</v>
      </c>
      <c r="AU36">
        <v>0</v>
      </c>
      <c r="AV36">
        <v>0</v>
      </c>
      <c r="AX36" t="s">
        <v>115</v>
      </c>
      <c r="AY36">
        <v>1</v>
      </c>
      <c r="AZ36">
        <v>1</v>
      </c>
      <c r="BA36">
        <v>1</v>
      </c>
      <c r="BB36">
        <v>1</v>
      </c>
      <c r="BC36">
        <v>1</v>
      </c>
      <c r="BD36">
        <v>1</v>
      </c>
      <c r="BE36">
        <v>1</v>
      </c>
      <c r="BF36">
        <v>1</v>
      </c>
      <c r="BG36">
        <v>0</v>
      </c>
      <c r="BJ36" t="s">
        <v>684</v>
      </c>
      <c r="BK36">
        <v>1</v>
      </c>
      <c r="BL36">
        <v>1</v>
      </c>
      <c r="BM36">
        <v>0</v>
      </c>
      <c r="BN36">
        <v>1</v>
      </c>
      <c r="BO36">
        <v>1</v>
      </c>
      <c r="BP36">
        <v>0</v>
      </c>
      <c r="BQ36">
        <v>0</v>
      </c>
      <c r="BR36">
        <v>1</v>
      </c>
      <c r="BS36">
        <v>0</v>
      </c>
      <c r="BT36">
        <v>0</v>
      </c>
      <c r="BU36">
        <v>0</v>
      </c>
      <c r="BV36">
        <v>0</v>
      </c>
      <c r="BW36">
        <v>1</v>
      </c>
      <c r="BX36">
        <v>0</v>
      </c>
      <c r="BY36">
        <v>1</v>
      </c>
      <c r="BZ36">
        <v>0</v>
      </c>
      <c r="CA36">
        <v>0</v>
      </c>
      <c r="CB36">
        <v>0</v>
      </c>
      <c r="CC36">
        <v>1</v>
      </c>
      <c r="CD36">
        <v>0</v>
      </c>
      <c r="CE36">
        <v>0</v>
      </c>
      <c r="CF36">
        <v>0</v>
      </c>
      <c r="CG36">
        <v>1</v>
      </c>
      <c r="CH36">
        <v>1</v>
      </c>
      <c r="CI36">
        <v>0</v>
      </c>
      <c r="CJ36">
        <v>0</v>
      </c>
      <c r="CK36">
        <v>0</v>
      </c>
      <c r="CL36">
        <v>0</v>
      </c>
      <c r="CM36">
        <v>0</v>
      </c>
      <c r="CO36" t="s">
        <v>94</v>
      </c>
      <c r="CP36" t="s">
        <v>685</v>
      </c>
      <c r="CQ36" t="s">
        <v>102</v>
      </c>
      <c r="CR36" t="s">
        <v>686</v>
      </c>
      <c r="CS36" t="s">
        <v>98</v>
      </c>
      <c r="CT36" t="s">
        <v>687</v>
      </c>
      <c r="CU36" t="s">
        <v>236</v>
      </c>
      <c r="CV36" t="s">
        <v>688</v>
      </c>
      <c r="CW36" t="s">
        <v>689</v>
      </c>
      <c r="CX36" t="s">
        <v>690</v>
      </c>
      <c r="CY36" t="s">
        <v>691</v>
      </c>
      <c r="CZ36" t="s">
        <v>692</v>
      </c>
      <c r="DB36" t="s">
        <v>74</v>
      </c>
      <c r="DC36" t="s">
        <v>80</v>
      </c>
      <c r="DD36">
        <v>0</v>
      </c>
      <c r="DE36">
        <v>0</v>
      </c>
      <c r="DF36">
        <v>1</v>
      </c>
      <c r="DG36">
        <v>0</v>
      </c>
      <c r="DH36">
        <v>0</v>
      </c>
      <c r="DJ36" t="s">
        <v>693</v>
      </c>
      <c r="DK36" t="s">
        <v>694</v>
      </c>
      <c r="DL36" t="s">
        <v>695</v>
      </c>
      <c r="DM36">
        <v>629525103</v>
      </c>
      <c r="DN36" t="s">
        <v>696</v>
      </c>
      <c r="DO36" s="1">
        <v>46005.180613425917</v>
      </c>
      <c r="DR36" t="s">
        <v>62</v>
      </c>
      <c r="DT36" t="s">
        <v>76</v>
      </c>
      <c r="DV36" t="s">
        <v>697</v>
      </c>
      <c r="DW36">
        <v>47</v>
      </c>
    </row>
    <row r="37" spans="1:127" x14ac:dyDescent="0.25">
      <c r="A37" s="1">
        <v>45998.643941759263</v>
      </c>
      <c r="B37" s="1">
        <v>46005.3063234375</v>
      </c>
      <c r="F37" t="s">
        <v>63</v>
      </c>
      <c r="H37" t="s">
        <v>85</v>
      </c>
      <c r="I37" s="1">
        <v>45999</v>
      </c>
      <c r="J37" t="s">
        <v>517</v>
      </c>
      <c r="K37" t="s">
        <v>698</v>
      </c>
      <c r="L37">
        <v>-2.3702730000000001</v>
      </c>
      <c r="M37">
        <v>37.990423999999997</v>
      </c>
      <c r="N37">
        <v>880.5</v>
      </c>
      <c r="O37">
        <v>91.566001892089844</v>
      </c>
      <c r="Q37" t="s">
        <v>699</v>
      </c>
      <c r="R37" t="s">
        <v>20</v>
      </c>
      <c r="S37" t="s">
        <v>77</v>
      </c>
      <c r="U37">
        <v>3</v>
      </c>
      <c r="V37">
        <v>2</v>
      </c>
      <c r="W37">
        <v>721225439</v>
      </c>
      <c r="X37" t="s">
        <v>150</v>
      </c>
      <c r="Y37" t="s">
        <v>67</v>
      </c>
      <c r="AA37" t="s">
        <v>68</v>
      </c>
      <c r="AB37">
        <v>1</v>
      </c>
      <c r="AC37">
        <v>1</v>
      </c>
      <c r="AD37">
        <v>1</v>
      </c>
      <c r="AE37">
        <v>0</v>
      </c>
      <c r="AG37" t="s">
        <v>90</v>
      </c>
      <c r="AH37" t="s">
        <v>70</v>
      </c>
      <c r="AI37" t="s">
        <v>284</v>
      </c>
      <c r="AJ37">
        <v>1</v>
      </c>
      <c r="AK37">
        <v>0</v>
      </c>
      <c r="AL37">
        <v>0</v>
      </c>
      <c r="AM37">
        <v>1</v>
      </c>
      <c r="AN37">
        <v>0</v>
      </c>
      <c r="AP37" t="s">
        <v>91</v>
      </c>
      <c r="AQ37">
        <v>1</v>
      </c>
      <c r="AR37">
        <v>0</v>
      </c>
      <c r="AS37">
        <v>1</v>
      </c>
      <c r="AT37">
        <v>0</v>
      </c>
      <c r="AU37">
        <v>0</v>
      </c>
      <c r="AV37">
        <v>0</v>
      </c>
      <c r="AX37" t="s">
        <v>115</v>
      </c>
      <c r="AY37">
        <v>1</v>
      </c>
      <c r="AZ37">
        <v>1</v>
      </c>
      <c r="BA37">
        <v>1</v>
      </c>
      <c r="BB37">
        <v>1</v>
      </c>
      <c r="BC37">
        <v>1</v>
      </c>
      <c r="BD37">
        <v>1</v>
      </c>
      <c r="BE37">
        <v>1</v>
      </c>
      <c r="BF37">
        <v>1</v>
      </c>
      <c r="BG37">
        <v>0</v>
      </c>
      <c r="BJ37" t="s">
        <v>700</v>
      </c>
      <c r="BK37">
        <v>1</v>
      </c>
      <c r="BL37">
        <v>1</v>
      </c>
      <c r="BM37">
        <v>0</v>
      </c>
      <c r="BN37">
        <v>1</v>
      </c>
      <c r="BO37">
        <v>1</v>
      </c>
      <c r="BP37">
        <v>1</v>
      </c>
      <c r="BQ37">
        <v>0</v>
      </c>
      <c r="BR37">
        <v>0</v>
      </c>
      <c r="BS37">
        <v>0</v>
      </c>
      <c r="BT37">
        <v>0</v>
      </c>
      <c r="BU37">
        <v>0</v>
      </c>
      <c r="BV37">
        <v>0</v>
      </c>
      <c r="BW37">
        <v>1</v>
      </c>
      <c r="BX37">
        <v>0</v>
      </c>
      <c r="BY37">
        <v>1</v>
      </c>
      <c r="BZ37">
        <v>0</v>
      </c>
      <c r="CA37">
        <v>0</v>
      </c>
      <c r="CB37">
        <v>0</v>
      </c>
      <c r="CC37">
        <v>1</v>
      </c>
      <c r="CD37">
        <v>0</v>
      </c>
      <c r="CE37">
        <v>0</v>
      </c>
      <c r="CF37">
        <v>0</v>
      </c>
      <c r="CG37">
        <v>1</v>
      </c>
      <c r="CH37">
        <v>1</v>
      </c>
      <c r="CI37">
        <v>0</v>
      </c>
      <c r="CJ37">
        <v>0</v>
      </c>
      <c r="CK37">
        <v>0</v>
      </c>
      <c r="CL37">
        <v>0</v>
      </c>
      <c r="CM37">
        <v>0</v>
      </c>
      <c r="CO37" t="s">
        <v>94</v>
      </c>
      <c r="CP37" t="s">
        <v>701</v>
      </c>
      <c r="CQ37" t="s">
        <v>102</v>
      </c>
      <c r="CR37" t="s">
        <v>702</v>
      </c>
      <c r="CS37" t="s">
        <v>253</v>
      </c>
      <c r="CT37" t="s">
        <v>703</v>
      </c>
      <c r="CU37" t="s">
        <v>199</v>
      </c>
      <c r="CV37" t="s">
        <v>704</v>
      </c>
      <c r="CW37" t="s">
        <v>605</v>
      </c>
      <c r="CX37" t="s">
        <v>705</v>
      </c>
      <c r="CY37" t="s">
        <v>706</v>
      </c>
      <c r="CZ37" t="s">
        <v>707</v>
      </c>
      <c r="DB37" t="s">
        <v>74</v>
      </c>
      <c r="DC37" t="s">
        <v>80</v>
      </c>
      <c r="DD37">
        <v>0</v>
      </c>
      <c r="DE37">
        <v>0</v>
      </c>
      <c r="DF37">
        <v>1</v>
      </c>
      <c r="DG37">
        <v>0</v>
      </c>
      <c r="DH37">
        <v>0</v>
      </c>
      <c r="DJ37" t="s">
        <v>708</v>
      </c>
      <c r="DK37" t="s">
        <v>709</v>
      </c>
      <c r="DL37" t="s">
        <v>710</v>
      </c>
      <c r="DM37">
        <v>629525401</v>
      </c>
      <c r="DN37" t="s">
        <v>711</v>
      </c>
      <c r="DO37" s="1">
        <v>46005.181342592587</v>
      </c>
      <c r="DR37" t="s">
        <v>62</v>
      </c>
      <c r="DT37" t="s">
        <v>76</v>
      </c>
      <c r="DV37" t="s">
        <v>712</v>
      </c>
      <c r="DW37">
        <v>48</v>
      </c>
    </row>
    <row r="38" spans="1:127" x14ac:dyDescent="0.25">
      <c r="A38" s="1">
        <v>45999.618891759259</v>
      </c>
      <c r="B38" s="1">
        <v>46005.307160879631</v>
      </c>
      <c r="F38" t="s">
        <v>63</v>
      </c>
      <c r="H38" t="s">
        <v>85</v>
      </c>
      <c r="I38" s="1">
        <v>45999</v>
      </c>
      <c r="J38" t="s">
        <v>517</v>
      </c>
      <c r="K38" t="s">
        <v>713</v>
      </c>
      <c r="L38">
        <v>-2.3718180000000002</v>
      </c>
      <c r="M38">
        <v>37.988379999999999</v>
      </c>
      <c r="N38">
        <v>821.09999999999991</v>
      </c>
      <c r="O38">
        <v>8.6999998092651367</v>
      </c>
      <c r="Q38" t="s">
        <v>714</v>
      </c>
      <c r="R38" t="s">
        <v>20</v>
      </c>
      <c r="S38" t="s">
        <v>228</v>
      </c>
      <c r="U38">
        <v>1</v>
      </c>
      <c r="V38">
        <v>2</v>
      </c>
      <c r="X38" t="s">
        <v>617</v>
      </c>
      <c r="Y38" t="s">
        <v>78</v>
      </c>
      <c r="AA38" t="s">
        <v>265</v>
      </c>
      <c r="AB38">
        <v>1</v>
      </c>
      <c r="AC38">
        <v>0</v>
      </c>
      <c r="AD38">
        <v>1</v>
      </c>
      <c r="AE38">
        <v>0</v>
      </c>
      <c r="AG38" t="s">
        <v>90</v>
      </c>
      <c r="AH38" t="s">
        <v>70</v>
      </c>
      <c r="AI38" t="s">
        <v>284</v>
      </c>
      <c r="AJ38">
        <v>1</v>
      </c>
      <c r="AK38">
        <v>0</v>
      </c>
      <c r="AL38">
        <v>0</v>
      </c>
      <c r="AM38">
        <v>1</v>
      </c>
      <c r="AN38">
        <v>0</v>
      </c>
      <c r="AP38" t="s">
        <v>91</v>
      </c>
      <c r="AQ38">
        <v>1</v>
      </c>
      <c r="AR38">
        <v>0</v>
      </c>
      <c r="AS38">
        <v>1</v>
      </c>
      <c r="AT38">
        <v>0</v>
      </c>
      <c r="AU38">
        <v>0</v>
      </c>
      <c r="AV38">
        <v>0</v>
      </c>
      <c r="AX38" t="s">
        <v>115</v>
      </c>
      <c r="AY38">
        <v>1</v>
      </c>
      <c r="AZ38">
        <v>1</v>
      </c>
      <c r="BA38">
        <v>1</v>
      </c>
      <c r="BB38">
        <v>1</v>
      </c>
      <c r="BC38">
        <v>1</v>
      </c>
      <c r="BD38">
        <v>1</v>
      </c>
      <c r="BE38">
        <v>1</v>
      </c>
      <c r="BF38">
        <v>1</v>
      </c>
      <c r="BG38">
        <v>0</v>
      </c>
      <c r="BJ38" t="s">
        <v>684</v>
      </c>
      <c r="BK38">
        <v>1</v>
      </c>
      <c r="BL38">
        <v>1</v>
      </c>
      <c r="BM38">
        <v>0</v>
      </c>
      <c r="BN38">
        <v>1</v>
      </c>
      <c r="BO38">
        <v>1</v>
      </c>
      <c r="BP38">
        <v>0</v>
      </c>
      <c r="BQ38">
        <v>0</v>
      </c>
      <c r="BR38">
        <v>1</v>
      </c>
      <c r="BS38">
        <v>0</v>
      </c>
      <c r="BT38">
        <v>0</v>
      </c>
      <c r="BU38">
        <v>0</v>
      </c>
      <c r="BV38">
        <v>0</v>
      </c>
      <c r="BW38">
        <v>1</v>
      </c>
      <c r="BX38">
        <v>0</v>
      </c>
      <c r="BY38">
        <v>1</v>
      </c>
      <c r="BZ38">
        <v>0</v>
      </c>
      <c r="CA38">
        <v>0</v>
      </c>
      <c r="CB38">
        <v>0</v>
      </c>
      <c r="CC38">
        <v>1</v>
      </c>
      <c r="CD38">
        <v>0</v>
      </c>
      <c r="CE38">
        <v>0</v>
      </c>
      <c r="CF38">
        <v>0</v>
      </c>
      <c r="CG38">
        <v>1</v>
      </c>
      <c r="CH38">
        <v>1</v>
      </c>
      <c r="CI38">
        <v>0</v>
      </c>
      <c r="CJ38">
        <v>0</v>
      </c>
      <c r="CK38">
        <v>0</v>
      </c>
      <c r="CL38">
        <v>0</v>
      </c>
      <c r="CM38">
        <v>0</v>
      </c>
      <c r="CO38" t="s">
        <v>94</v>
      </c>
      <c r="CP38" t="s">
        <v>715</v>
      </c>
      <c r="CQ38" t="s">
        <v>236</v>
      </c>
      <c r="CR38" t="s">
        <v>716</v>
      </c>
      <c r="CS38" t="s">
        <v>102</v>
      </c>
      <c r="CT38" t="s">
        <v>717</v>
      </c>
      <c r="CU38" t="s">
        <v>199</v>
      </c>
      <c r="CV38" t="s">
        <v>718</v>
      </c>
      <c r="CW38" t="s">
        <v>98</v>
      </c>
      <c r="CX38" t="s">
        <v>719</v>
      </c>
      <c r="CY38" t="s">
        <v>720</v>
      </c>
      <c r="CZ38" t="s">
        <v>721</v>
      </c>
      <c r="DC38" t="s">
        <v>80</v>
      </c>
      <c r="DD38">
        <v>0</v>
      </c>
      <c r="DE38">
        <v>0</v>
      </c>
      <c r="DF38">
        <v>1</v>
      </c>
      <c r="DG38">
        <v>0</v>
      </c>
      <c r="DH38">
        <v>0</v>
      </c>
      <c r="DJ38" t="s">
        <v>722</v>
      </c>
      <c r="DK38" t="s">
        <v>723</v>
      </c>
      <c r="DL38" t="s">
        <v>724</v>
      </c>
      <c r="DM38">
        <v>629525792</v>
      </c>
      <c r="DN38" t="s">
        <v>725</v>
      </c>
      <c r="DO38" s="1">
        <v>46005.182175925933</v>
      </c>
      <c r="DR38" t="s">
        <v>62</v>
      </c>
      <c r="DT38" t="s">
        <v>76</v>
      </c>
      <c r="DV38" t="s">
        <v>726</v>
      </c>
      <c r="DW38">
        <v>49</v>
      </c>
    </row>
    <row r="39" spans="1:127" x14ac:dyDescent="0.25">
      <c r="A39" s="1">
        <v>46000.432729918983</v>
      </c>
      <c r="B39" s="1">
        <v>46005.309274363433</v>
      </c>
      <c r="F39" t="s">
        <v>63</v>
      </c>
      <c r="H39" t="s">
        <v>85</v>
      </c>
      <c r="I39" s="1">
        <v>46000</v>
      </c>
      <c r="J39" t="s">
        <v>727</v>
      </c>
      <c r="K39" t="s">
        <v>728</v>
      </c>
      <c r="L39">
        <v>-2.4210280000000002</v>
      </c>
      <c r="M39">
        <v>38.094892000000002</v>
      </c>
      <c r="N39">
        <v>749.80000000000007</v>
      </c>
      <c r="O39">
        <v>11.60000038146973</v>
      </c>
      <c r="Q39" t="s">
        <v>729</v>
      </c>
      <c r="R39" t="s">
        <v>64</v>
      </c>
      <c r="S39" t="s">
        <v>77</v>
      </c>
      <c r="U39">
        <v>4</v>
      </c>
      <c r="V39">
        <v>2</v>
      </c>
      <c r="W39">
        <v>721966657</v>
      </c>
      <c r="X39" t="s">
        <v>150</v>
      </c>
      <c r="Y39" t="s">
        <v>67</v>
      </c>
      <c r="AA39" t="s">
        <v>68</v>
      </c>
      <c r="AB39">
        <v>1</v>
      </c>
      <c r="AC39">
        <v>1</v>
      </c>
      <c r="AD39">
        <v>1</v>
      </c>
      <c r="AE39">
        <v>0</v>
      </c>
      <c r="AG39" t="s">
        <v>90</v>
      </c>
      <c r="AH39" t="s">
        <v>70</v>
      </c>
      <c r="AI39" t="s">
        <v>113</v>
      </c>
      <c r="AJ39">
        <v>1</v>
      </c>
      <c r="AK39">
        <v>0</v>
      </c>
      <c r="AL39">
        <v>1</v>
      </c>
      <c r="AM39">
        <v>1</v>
      </c>
      <c r="AN39">
        <v>0</v>
      </c>
      <c r="AP39" t="s">
        <v>392</v>
      </c>
      <c r="AQ39">
        <v>1</v>
      </c>
      <c r="AR39">
        <v>0</v>
      </c>
      <c r="AS39">
        <v>1</v>
      </c>
      <c r="AT39">
        <v>0</v>
      </c>
      <c r="AU39">
        <v>1</v>
      </c>
      <c r="AV39">
        <v>0</v>
      </c>
      <c r="AX39" t="s">
        <v>115</v>
      </c>
      <c r="AY39">
        <v>1</v>
      </c>
      <c r="AZ39">
        <v>1</v>
      </c>
      <c r="BA39">
        <v>1</v>
      </c>
      <c r="BB39">
        <v>1</v>
      </c>
      <c r="BC39">
        <v>1</v>
      </c>
      <c r="BD39">
        <v>1</v>
      </c>
      <c r="BE39">
        <v>1</v>
      </c>
      <c r="BF39">
        <v>1</v>
      </c>
      <c r="BG39">
        <v>0</v>
      </c>
      <c r="BJ39" t="s">
        <v>730</v>
      </c>
      <c r="BK39">
        <v>1</v>
      </c>
      <c r="BL39">
        <v>1</v>
      </c>
      <c r="BM39">
        <v>0</v>
      </c>
      <c r="BN39">
        <v>1</v>
      </c>
      <c r="BO39">
        <v>1</v>
      </c>
      <c r="BP39">
        <v>0</v>
      </c>
      <c r="BQ39">
        <v>1</v>
      </c>
      <c r="BR39">
        <v>0</v>
      </c>
      <c r="BS39">
        <v>0</v>
      </c>
      <c r="BT39">
        <v>0</v>
      </c>
      <c r="BU39">
        <v>0</v>
      </c>
      <c r="BV39">
        <v>0</v>
      </c>
      <c r="BW39">
        <v>0</v>
      </c>
      <c r="BX39">
        <v>0</v>
      </c>
      <c r="BY39">
        <v>0</v>
      </c>
      <c r="BZ39">
        <v>0</v>
      </c>
      <c r="CA39">
        <v>0</v>
      </c>
      <c r="CB39">
        <v>0</v>
      </c>
      <c r="CC39">
        <v>1</v>
      </c>
      <c r="CD39">
        <v>0</v>
      </c>
      <c r="CE39">
        <v>0</v>
      </c>
      <c r="CF39">
        <v>0</v>
      </c>
      <c r="CG39">
        <v>1</v>
      </c>
      <c r="CH39">
        <v>1</v>
      </c>
      <c r="CI39">
        <v>0</v>
      </c>
      <c r="CJ39">
        <v>0</v>
      </c>
      <c r="CK39">
        <v>1</v>
      </c>
      <c r="CL39">
        <v>1</v>
      </c>
      <c r="CM39">
        <v>0</v>
      </c>
      <c r="CO39" t="s">
        <v>98</v>
      </c>
      <c r="CP39" t="s">
        <v>731</v>
      </c>
      <c r="CQ39" t="s">
        <v>100</v>
      </c>
      <c r="CR39" t="s">
        <v>732</v>
      </c>
      <c r="CS39" t="s">
        <v>733</v>
      </c>
      <c r="CT39" t="s">
        <v>734</v>
      </c>
      <c r="CU39" t="s">
        <v>236</v>
      </c>
      <c r="CV39" t="s">
        <v>735</v>
      </c>
      <c r="CW39" t="s">
        <v>138</v>
      </c>
      <c r="CX39" t="s">
        <v>736</v>
      </c>
      <c r="CY39" t="s">
        <v>528</v>
      </c>
      <c r="CZ39" t="s">
        <v>737</v>
      </c>
      <c r="DB39" t="s">
        <v>74</v>
      </c>
      <c r="DC39" t="s">
        <v>80</v>
      </c>
      <c r="DD39">
        <v>0</v>
      </c>
      <c r="DE39">
        <v>0</v>
      </c>
      <c r="DF39">
        <v>1</v>
      </c>
      <c r="DG39">
        <v>0</v>
      </c>
      <c r="DH39">
        <v>0</v>
      </c>
      <c r="DJ39" t="s">
        <v>738</v>
      </c>
      <c r="DK39" t="s">
        <v>739</v>
      </c>
      <c r="DL39" t="s">
        <v>740</v>
      </c>
      <c r="DM39">
        <v>629526634</v>
      </c>
      <c r="DN39" t="s">
        <v>741</v>
      </c>
      <c r="DO39" s="1">
        <v>46005.184293981481</v>
      </c>
      <c r="DR39" t="s">
        <v>62</v>
      </c>
      <c r="DT39" t="s">
        <v>76</v>
      </c>
      <c r="DV39" t="s">
        <v>742</v>
      </c>
      <c r="DW39">
        <v>50</v>
      </c>
    </row>
    <row r="40" spans="1:127" x14ac:dyDescent="0.25">
      <c r="A40" s="1">
        <v>46000.497936157408</v>
      </c>
      <c r="B40" s="1">
        <v>46005.310169803241</v>
      </c>
      <c r="F40" t="s">
        <v>63</v>
      </c>
      <c r="H40" t="s">
        <v>85</v>
      </c>
      <c r="I40" s="1">
        <v>46000</v>
      </c>
      <c r="J40" t="s">
        <v>681</v>
      </c>
      <c r="K40" t="s">
        <v>743</v>
      </c>
      <c r="L40">
        <v>-2.400185</v>
      </c>
      <c r="M40">
        <v>38.097790000000003</v>
      </c>
      <c r="N40">
        <v>745.4</v>
      </c>
      <c r="O40">
        <v>8.1999998092651367</v>
      </c>
      <c r="Q40" t="s">
        <v>744</v>
      </c>
      <c r="R40" t="s">
        <v>20</v>
      </c>
      <c r="S40" t="s">
        <v>130</v>
      </c>
      <c r="U40">
        <v>3</v>
      </c>
      <c r="V40">
        <v>1</v>
      </c>
      <c r="W40">
        <v>704245859</v>
      </c>
      <c r="X40" t="s">
        <v>745</v>
      </c>
      <c r="Y40" t="s">
        <v>247</v>
      </c>
      <c r="AA40" t="s">
        <v>68</v>
      </c>
      <c r="AB40">
        <v>1</v>
      </c>
      <c r="AC40">
        <v>1</v>
      </c>
      <c r="AD40">
        <v>1</v>
      </c>
      <c r="AE40">
        <v>0</v>
      </c>
      <c r="AG40" t="s">
        <v>90</v>
      </c>
      <c r="AH40" t="s">
        <v>70</v>
      </c>
      <c r="AI40" t="s">
        <v>284</v>
      </c>
      <c r="AJ40">
        <v>1</v>
      </c>
      <c r="AK40">
        <v>0</v>
      </c>
      <c r="AL40">
        <v>0</v>
      </c>
      <c r="AM40">
        <v>1</v>
      </c>
      <c r="AN40">
        <v>0</v>
      </c>
      <c r="AP40" t="s">
        <v>91</v>
      </c>
      <c r="AQ40">
        <v>1</v>
      </c>
      <c r="AR40">
        <v>0</v>
      </c>
      <c r="AS40">
        <v>1</v>
      </c>
      <c r="AT40">
        <v>0</v>
      </c>
      <c r="AU40">
        <v>0</v>
      </c>
      <c r="AV40">
        <v>0</v>
      </c>
      <c r="AX40" t="s">
        <v>115</v>
      </c>
      <c r="AY40">
        <v>1</v>
      </c>
      <c r="AZ40">
        <v>1</v>
      </c>
      <c r="BA40">
        <v>1</v>
      </c>
      <c r="BB40">
        <v>1</v>
      </c>
      <c r="BC40">
        <v>1</v>
      </c>
      <c r="BD40">
        <v>1</v>
      </c>
      <c r="BE40">
        <v>1</v>
      </c>
      <c r="BF40">
        <v>1</v>
      </c>
      <c r="BG40">
        <v>0</v>
      </c>
      <c r="BJ40" t="s">
        <v>746</v>
      </c>
      <c r="BK40">
        <v>1</v>
      </c>
      <c r="BL40">
        <v>1</v>
      </c>
      <c r="BM40">
        <v>0</v>
      </c>
      <c r="BN40">
        <v>1</v>
      </c>
      <c r="BO40">
        <v>1</v>
      </c>
      <c r="BP40">
        <v>0</v>
      </c>
      <c r="BQ40">
        <v>1</v>
      </c>
      <c r="BR40">
        <v>1</v>
      </c>
      <c r="BS40">
        <v>0</v>
      </c>
      <c r="BT40">
        <v>0</v>
      </c>
      <c r="BU40">
        <v>0</v>
      </c>
      <c r="BV40">
        <v>0</v>
      </c>
      <c r="BW40">
        <v>1</v>
      </c>
      <c r="BX40">
        <v>0</v>
      </c>
      <c r="BY40">
        <v>0</v>
      </c>
      <c r="BZ40">
        <v>0</v>
      </c>
      <c r="CA40">
        <v>0</v>
      </c>
      <c r="CB40">
        <v>0</v>
      </c>
      <c r="CC40">
        <v>1</v>
      </c>
      <c r="CD40">
        <v>0</v>
      </c>
      <c r="CE40">
        <v>0</v>
      </c>
      <c r="CF40">
        <v>0</v>
      </c>
      <c r="CG40">
        <v>1</v>
      </c>
      <c r="CH40">
        <v>0</v>
      </c>
      <c r="CI40">
        <v>0</v>
      </c>
      <c r="CJ40">
        <v>0</v>
      </c>
      <c r="CK40">
        <v>0</v>
      </c>
      <c r="CL40">
        <v>1</v>
      </c>
      <c r="CM40">
        <v>0</v>
      </c>
      <c r="CO40" t="s">
        <v>94</v>
      </c>
      <c r="CP40" t="s">
        <v>747</v>
      </c>
      <c r="CQ40" t="s">
        <v>96</v>
      </c>
      <c r="CR40" t="s">
        <v>748</v>
      </c>
      <c r="CS40" t="s">
        <v>749</v>
      </c>
      <c r="CT40" t="s">
        <v>750</v>
      </c>
      <c r="CU40" t="s">
        <v>102</v>
      </c>
      <c r="CV40" t="s">
        <v>751</v>
      </c>
      <c r="CW40" t="s">
        <v>98</v>
      </c>
      <c r="CX40" t="s">
        <v>570</v>
      </c>
      <c r="CY40" t="s">
        <v>528</v>
      </c>
      <c r="CZ40" t="s">
        <v>752</v>
      </c>
      <c r="DB40" t="s">
        <v>74</v>
      </c>
      <c r="DC40" t="s">
        <v>80</v>
      </c>
      <c r="DD40">
        <v>0</v>
      </c>
      <c r="DE40">
        <v>0</v>
      </c>
      <c r="DF40">
        <v>1</v>
      </c>
      <c r="DG40">
        <v>0</v>
      </c>
      <c r="DH40">
        <v>0</v>
      </c>
      <c r="DJ40" t="s">
        <v>753</v>
      </c>
      <c r="DK40" t="s">
        <v>754</v>
      </c>
      <c r="DL40" t="s">
        <v>755</v>
      </c>
      <c r="DM40">
        <v>629526995</v>
      </c>
      <c r="DN40" t="s">
        <v>756</v>
      </c>
      <c r="DO40" s="1">
        <v>46005.185196759259</v>
      </c>
      <c r="DR40" t="s">
        <v>62</v>
      </c>
      <c r="DT40" t="s">
        <v>76</v>
      </c>
      <c r="DV40" t="s">
        <v>757</v>
      </c>
      <c r="DW40">
        <v>51</v>
      </c>
    </row>
    <row r="41" spans="1:127" x14ac:dyDescent="0.25">
      <c r="A41" s="1">
        <v>46001.556824039348</v>
      </c>
      <c r="B41" s="1">
        <v>46005.312249224538</v>
      </c>
      <c r="F41" t="s">
        <v>63</v>
      </c>
      <c r="H41" t="s">
        <v>85</v>
      </c>
      <c r="I41" s="1">
        <v>46003</v>
      </c>
      <c r="J41" t="s">
        <v>758</v>
      </c>
      <c r="K41" t="s">
        <v>759</v>
      </c>
      <c r="L41">
        <v>-2.3905349999999999</v>
      </c>
      <c r="M41">
        <v>37.957903000000002</v>
      </c>
      <c r="N41">
        <v>743.6</v>
      </c>
      <c r="O41">
        <v>7</v>
      </c>
      <c r="Q41" t="s">
        <v>760</v>
      </c>
      <c r="R41" t="s">
        <v>20</v>
      </c>
      <c r="S41" t="s">
        <v>77</v>
      </c>
      <c r="U41">
        <v>5</v>
      </c>
      <c r="V41">
        <v>2</v>
      </c>
      <c r="W41">
        <v>729092288</v>
      </c>
      <c r="X41" t="s">
        <v>150</v>
      </c>
      <c r="Y41" t="s">
        <v>78</v>
      </c>
      <c r="AA41" t="s">
        <v>68</v>
      </c>
      <c r="AB41">
        <v>1</v>
      </c>
      <c r="AC41">
        <v>1</v>
      </c>
      <c r="AD41">
        <v>1</v>
      </c>
      <c r="AE41">
        <v>0</v>
      </c>
      <c r="AG41" t="s">
        <v>69</v>
      </c>
      <c r="AH41" t="s">
        <v>70</v>
      </c>
      <c r="AI41" t="s">
        <v>230</v>
      </c>
      <c r="AJ41">
        <v>1</v>
      </c>
      <c r="AK41">
        <v>1</v>
      </c>
      <c r="AL41">
        <v>0</v>
      </c>
      <c r="AM41">
        <v>1</v>
      </c>
      <c r="AN41">
        <v>0</v>
      </c>
      <c r="AO41">
        <v>6</v>
      </c>
      <c r="AP41" t="s">
        <v>761</v>
      </c>
      <c r="AQ41">
        <v>1</v>
      </c>
      <c r="AR41">
        <v>0</v>
      </c>
      <c r="AS41">
        <v>1</v>
      </c>
      <c r="AT41">
        <v>1</v>
      </c>
      <c r="AU41">
        <v>1</v>
      </c>
      <c r="AV41">
        <v>0</v>
      </c>
      <c r="AX41" t="s">
        <v>115</v>
      </c>
      <c r="AY41">
        <v>1</v>
      </c>
      <c r="AZ41">
        <v>1</v>
      </c>
      <c r="BA41">
        <v>1</v>
      </c>
      <c r="BB41">
        <v>1</v>
      </c>
      <c r="BC41">
        <v>1</v>
      </c>
      <c r="BD41">
        <v>1</v>
      </c>
      <c r="BE41">
        <v>1</v>
      </c>
      <c r="BF41">
        <v>1</v>
      </c>
      <c r="BG41">
        <v>0</v>
      </c>
      <c r="BJ41" t="s">
        <v>762</v>
      </c>
      <c r="BK41">
        <v>0</v>
      </c>
      <c r="BL41">
        <v>1</v>
      </c>
      <c r="BM41">
        <v>0</v>
      </c>
      <c r="BN41">
        <v>1</v>
      </c>
      <c r="BO41">
        <v>0</v>
      </c>
      <c r="BP41">
        <v>0</v>
      </c>
      <c r="BQ41">
        <v>0</v>
      </c>
      <c r="BR41">
        <v>1</v>
      </c>
      <c r="BS41">
        <v>0</v>
      </c>
      <c r="BT41">
        <v>0</v>
      </c>
      <c r="BU41">
        <v>0</v>
      </c>
      <c r="BV41">
        <v>0</v>
      </c>
      <c r="BW41">
        <v>1</v>
      </c>
      <c r="BX41">
        <v>0</v>
      </c>
      <c r="BY41">
        <v>1</v>
      </c>
      <c r="BZ41">
        <v>0</v>
      </c>
      <c r="CA41">
        <v>0</v>
      </c>
      <c r="CB41">
        <v>0</v>
      </c>
      <c r="CC41">
        <v>1</v>
      </c>
      <c r="CD41">
        <v>1</v>
      </c>
      <c r="CE41">
        <v>0</v>
      </c>
      <c r="CF41">
        <v>1</v>
      </c>
      <c r="CG41">
        <v>1</v>
      </c>
      <c r="CH41">
        <v>0</v>
      </c>
      <c r="CI41">
        <v>0</v>
      </c>
      <c r="CJ41">
        <v>0</v>
      </c>
      <c r="CK41">
        <v>1</v>
      </c>
      <c r="CL41">
        <v>1</v>
      </c>
      <c r="CM41">
        <v>0</v>
      </c>
      <c r="CO41" t="s">
        <v>98</v>
      </c>
      <c r="CP41" t="s">
        <v>763</v>
      </c>
      <c r="CQ41" t="s">
        <v>178</v>
      </c>
      <c r="CR41" t="s">
        <v>764</v>
      </c>
      <c r="CS41" t="s">
        <v>100</v>
      </c>
      <c r="CT41" t="s">
        <v>765</v>
      </c>
      <c r="CU41" t="s">
        <v>94</v>
      </c>
      <c r="CV41" t="s">
        <v>766</v>
      </c>
      <c r="CW41" t="s">
        <v>767</v>
      </c>
      <c r="CX41" t="s">
        <v>768</v>
      </c>
      <c r="CY41" t="s">
        <v>769</v>
      </c>
      <c r="CZ41" t="s">
        <v>608</v>
      </c>
      <c r="DB41" t="s">
        <v>74</v>
      </c>
      <c r="DC41" t="s">
        <v>80</v>
      </c>
      <c r="DD41">
        <v>0</v>
      </c>
      <c r="DE41">
        <v>0</v>
      </c>
      <c r="DF41">
        <v>1</v>
      </c>
      <c r="DG41">
        <v>0</v>
      </c>
      <c r="DH41">
        <v>0</v>
      </c>
      <c r="DJ41" t="s">
        <v>770</v>
      </c>
      <c r="DK41" t="s">
        <v>771</v>
      </c>
      <c r="DL41" t="s">
        <v>772</v>
      </c>
      <c r="DM41">
        <v>629527536</v>
      </c>
      <c r="DN41" t="s">
        <v>773</v>
      </c>
      <c r="DO41" s="1">
        <v>46005.187280092592</v>
      </c>
      <c r="DR41" t="s">
        <v>62</v>
      </c>
      <c r="DT41" t="s">
        <v>76</v>
      </c>
      <c r="DV41" t="s">
        <v>774</v>
      </c>
      <c r="DW41">
        <v>52</v>
      </c>
    </row>
    <row r="42" spans="1:127" x14ac:dyDescent="0.25">
      <c r="A42" s="1">
        <v>46003.41734201389</v>
      </c>
      <c r="B42" s="1">
        <v>46005.312691435189</v>
      </c>
      <c r="F42" t="s">
        <v>63</v>
      </c>
      <c r="H42" t="s">
        <v>85</v>
      </c>
      <c r="I42" s="1">
        <v>46003</v>
      </c>
      <c r="J42" t="s">
        <v>775</v>
      </c>
      <c r="K42" t="s">
        <v>776</v>
      </c>
      <c r="L42">
        <v>-2.3953419999999999</v>
      </c>
      <c r="M42">
        <v>37.965102000000002</v>
      </c>
      <c r="N42">
        <v>867.8</v>
      </c>
      <c r="O42">
        <v>5.1999998092651367</v>
      </c>
      <c r="Q42" t="s">
        <v>777</v>
      </c>
      <c r="R42" t="s">
        <v>64</v>
      </c>
      <c r="S42" t="s">
        <v>130</v>
      </c>
      <c r="U42">
        <v>2</v>
      </c>
      <c r="V42">
        <v>3</v>
      </c>
      <c r="W42">
        <v>726324347</v>
      </c>
      <c r="X42" t="s">
        <v>150</v>
      </c>
      <c r="Y42" t="s">
        <v>67</v>
      </c>
      <c r="AA42" t="s">
        <v>68</v>
      </c>
      <c r="AB42">
        <v>1</v>
      </c>
      <c r="AC42">
        <v>1</v>
      </c>
      <c r="AD42">
        <v>1</v>
      </c>
      <c r="AE42">
        <v>0</v>
      </c>
      <c r="AG42" t="s">
        <v>90</v>
      </c>
      <c r="AH42" t="s">
        <v>70</v>
      </c>
      <c r="AI42" t="s">
        <v>284</v>
      </c>
      <c r="AJ42">
        <v>1</v>
      </c>
      <c r="AK42">
        <v>0</v>
      </c>
      <c r="AL42">
        <v>0</v>
      </c>
      <c r="AM42">
        <v>1</v>
      </c>
      <c r="AN42">
        <v>0</v>
      </c>
      <c r="AP42" t="s">
        <v>778</v>
      </c>
      <c r="AQ42">
        <v>1</v>
      </c>
      <c r="AR42">
        <v>0</v>
      </c>
      <c r="AS42">
        <v>1</v>
      </c>
      <c r="AT42">
        <v>1</v>
      </c>
      <c r="AU42">
        <v>0</v>
      </c>
      <c r="AV42">
        <v>0</v>
      </c>
      <c r="AX42" t="s">
        <v>115</v>
      </c>
      <c r="AY42">
        <v>1</v>
      </c>
      <c r="AZ42">
        <v>1</v>
      </c>
      <c r="BA42">
        <v>1</v>
      </c>
      <c r="BB42">
        <v>1</v>
      </c>
      <c r="BC42">
        <v>1</v>
      </c>
      <c r="BD42">
        <v>1</v>
      </c>
      <c r="BE42">
        <v>1</v>
      </c>
      <c r="BF42">
        <v>1</v>
      </c>
      <c r="BG42">
        <v>0</v>
      </c>
      <c r="BJ42" t="s">
        <v>779</v>
      </c>
      <c r="BK42">
        <v>0</v>
      </c>
      <c r="BL42">
        <v>1</v>
      </c>
      <c r="BM42">
        <v>1</v>
      </c>
      <c r="BN42">
        <v>1</v>
      </c>
      <c r="BO42">
        <v>1</v>
      </c>
      <c r="BP42">
        <v>0</v>
      </c>
      <c r="BQ42">
        <v>1</v>
      </c>
      <c r="BR42">
        <v>1</v>
      </c>
      <c r="BS42">
        <v>0</v>
      </c>
      <c r="BT42">
        <v>0</v>
      </c>
      <c r="BU42">
        <v>0</v>
      </c>
      <c r="BV42">
        <v>0</v>
      </c>
      <c r="BW42">
        <v>0</v>
      </c>
      <c r="BX42">
        <v>0</v>
      </c>
      <c r="BY42">
        <v>0</v>
      </c>
      <c r="BZ42">
        <v>0</v>
      </c>
      <c r="CA42">
        <v>0</v>
      </c>
      <c r="CB42">
        <v>0</v>
      </c>
      <c r="CC42">
        <v>1</v>
      </c>
      <c r="CD42">
        <v>0</v>
      </c>
      <c r="CE42">
        <v>0</v>
      </c>
      <c r="CF42">
        <v>0</v>
      </c>
      <c r="CG42">
        <v>1</v>
      </c>
      <c r="CH42">
        <v>1</v>
      </c>
      <c r="CI42">
        <v>0</v>
      </c>
      <c r="CJ42">
        <v>0</v>
      </c>
      <c r="CK42">
        <v>0</v>
      </c>
      <c r="CL42">
        <v>1</v>
      </c>
      <c r="CM42">
        <v>0</v>
      </c>
      <c r="CO42" t="s">
        <v>94</v>
      </c>
      <c r="CP42" t="s">
        <v>780</v>
      </c>
      <c r="CQ42" t="s">
        <v>781</v>
      </c>
      <c r="CR42" t="s">
        <v>782</v>
      </c>
      <c r="CS42" t="s">
        <v>102</v>
      </c>
      <c r="CT42" t="s">
        <v>783</v>
      </c>
      <c r="CU42" t="s">
        <v>253</v>
      </c>
      <c r="CV42" t="s">
        <v>784</v>
      </c>
      <c r="CW42" t="s">
        <v>98</v>
      </c>
      <c r="CX42" t="s">
        <v>785</v>
      </c>
      <c r="CY42" t="s">
        <v>786</v>
      </c>
      <c r="CZ42" t="s">
        <v>787</v>
      </c>
      <c r="DB42" t="s">
        <v>74</v>
      </c>
      <c r="DC42" t="s">
        <v>80</v>
      </c>
      <c r="DD42">
        <v>0</v>
      </c>
      <c r="DE42">
        <v>0</v>
      </c>
      <c r="DF42">
        <v>1</v>
      </c>
      <c r="DG42">
        <v>0</v>
      </c>
      <c r="DH42">
        <v>0</v>
      </c>
      <c r="DJ42" t="s">
        <v>788</v>
      </c>
      <c r="DK42" t="s">
        <v>789</v>
      </c>
      <c r="DL42" t="s">
        <v>790</v>
      </c>
      <c r="DM42">
        <v>629527630</v>
      </c>
      <c r="DN42" t="s">
        <v>791</v>
      </c>
      <c r="DO42" s="1">
        <v>46005.187708333331</v>
      </c>
      <c r="DR42" t="s">
        <v>62</v>
      </c>
      <c r="DT42" t="s">
        <v>76</v>
      </c>
      <c r="DV42" t="s">
        <v>792</v>
      </c>
      <c r="DW42">
        <v>53</v>
      </c>
    </row>
    <row r="43" spans="1:127" x14ac:dyDescent="0.25">
      <c r="A43" s="1">
        <v>46001.434504120371</v>
      </c>
      <c r="B43" s="1">
        <v>46005.313396597223</v>
      </c>
      <c r="F43" t="s">
        <v>63</v>
      </c>
      <c r="H43" t="s">
        <v>85</v>
      </c>
      <c r="I43" s="1">
        <v>46001</v>
      </c>
      <c r="J43" t="s">
        <v>681</v>
      </c>
      <c r="K43" t="s">
        <v>793</v>
      </c>
      <c r="L43">
        <v>-2.401513</v>
      </c>
      <c r="M43">
        <v>38.098147869999998</v>
      </c>
      <c r="N43">
        <v>795.9</v>
      </c>
      <c r="O43">
        <v>16.700000276293949</v>
      </c>
      <c r="Q43" t="s">
        <v>794</v>
      </c>
      <c r="R43" t="s">
        <v>64</v>
      </c>
      <c r="S43" t="s">
        <v>190</v>
      </c>
      <c r="U43">
        <v>2</v>
      </c>
      <c r="V43">
        <v>3</v>
      </c>
      <c r="W43">
        <v>724599304</v>
      </c>
      <c r="X43" t="s">
        <v>150</v>
      </c>
      <c r="Y43" t="s">
        <v>247</v>
      </c>
      <c r="AA43" t="s">
        <v>68</v>
      </c>
      <c r="AB43">
        <v>1</v>
      </c>
      <c r="AC43">
        <v>1</v>
      </c>
      <c r="AD43">
        <v>1</v>
      </c>
      <c r="AE43">
        <v>0</v>
      </c>
      <c r="AG43" t="s">
        <v>90</v>
      </c>
      <c r="AH43" t="s">
        <v>70</v>
      </c>
      <c r="AI43" t="s">
        <v>284</v>
      </c>
      <c r="AJ43">
        <v>1</v>
      </c>
      <c r="AK43">
        <v>0</v>
      </c>
      <c r="AL43">
        <v>0</v>
      </c>
      <c r="AM43">
        <v>1</v>
      </c>
      <c r="AN43">
        <v>0</v>
      </c>
      <c r="AP43" t="s">
        <v>91</v>
      </c>
      <c r="AQ43">
        <v>1</v>
      </c>
      <c r="AR43">
        <v>0</v>
      </c>
      <c r="AS43">
        <v>1</v>
      </c>
      <c r="AT43">
        <v>0</v>
      </c>
      <c r="AU43">
        <v>0</v>
      </c>
      <c r="AV43">
        <v>0</v>
      </c>
      <c r="AX43" t="s">
        <v>115</v>
      </c>
      <c r="AY43">
        <v>1</v>
      </c>
      <c r="AZ43">
        <v>1</v>
      </c>
      <c r="BA43">
        <v>1</v>
      </c>
      <c r="BB43">
        <v>1</v>
      </c>
      <c r="BC43">
        <v>1</v>
      </c>
      <c r="BD43">
        <v>1</v>
      </c>
      <c r="BE43">
        <v>1</v>
      </c>
      <c r="BF43">
        <v>1</v>
      </c>
      <c r="BG43">
        <v>0</v>
      </c>
      <c r="BJ43" t="s">
        <v>795</v>
      </c>
      <c r="BK43">
        <v>1</v>
      </c>
      <c r="BL43">
        <v>1</v>
      </c>
      <c r="BM43">
        <v>0</v>
      </c>
      <c r="BN43">
        <v>1</v>
      </c>
      <c r="BO43">
        <v>1</v>
      </c>
      <c r="BP43">
        <v>0</v>
      </c>
      <c r="BQ43">
        <v>1</v>
      </c>
      <c r="BR43">
        <v>1</v>
      </c>
      <c r="BS43">
        <v>0</v>
      </c>
      <c r="BT43">
        <v>0</v>
      </c>
      <c r="BU43">
        <v>0</v>
      </c>
      <c r="BV43">
        <v>0</v>
      </c>
      <c r="BW43">
        <v>1</v>
      </c>
      <c r="BX43">
        <v>0</v>
      </c>
      <c r="BY43">
        <v>0</v>
      </c>
      <c r="BZ43">
        <v>0</v>
      </c>
      <c r="CA43">
        <v>0</v>
      </c>
      <c r="CB43">
        <v>0</v>
      </c>
      <c r="CC43">
        <v>1</v>
      </c>
      <c r="CD43">
        <v>0</v>
      </c>
      <c r="CE43">
        <v>0</v>
      </c>
      <c r="CF43">
        <v>0</v>
      </c>
      <c r="CG43">
        <v>1</v>
      </c>
      <c r="CH43">
        <v>1</v>
      </c>
      <c r="CI43">
        <v>0</v>
      </c>
      <c r="CJ43">
        <v>0</v>
      </c>
      <c r="CK43">
        <v>0</v>
      </c>
      <c r="CL43">
        <v>0</v>
      </c>
      <c r="CM43">
        <v>0</v>
      </c>
      <c r="CO43" t="s">
        <v>94</v>
      </c>
      <c r="CP43" t="s">
        <v>796</v>
      </c>
      <c r="CQ43" t="s">
        <v>102</v>
      </c>
      <c r="CR43" t="s">
        <v>797</v>
      </c>
      <c r="CS43" t="s">
        <v>798</v>
      </c>
      <c r="CT43" t="s">
        <v>799</v>
      </c>
      <c r="CU43" t="s">
        <v>96</v>
      </c>
      <c r="CV43" t="s">
        <v>800</v>
      </c>
      <c r="CW43" t="s">
        <v>801</v>
      </c>
      <c r="CX43" t="s">
        <v>802</v>
      </c>
      <c r="CY43" t="s">
        <v>528</v>
      </c>
      <c r="CZ43" t="s">
        <v>608</v>
      </c>
      <c r="DB43" t="s">
        <v>74</v>
      </c>
      <c r="DC43" t="s">
        <v>80</v>
      </c>
      <c r="DD43">
        <v>0</v>
      </c>
      <c r="DE43">
        <v>0</v>
      </c>
      <c r="DF43">
        <v>1</v>
      </c>
      <c r="DG43">
        <v>0</v>
      </c>
      <c r="DH43">
        <v>0</v>
      </c>
      <c r="DJ43" t="s">
        <v>803</v>
      </c>
      <c r="DK43" t="s">
        <v>804</v>
      </c>
      <c r="DL43" t="s">
        <v>805</v>
      </c>
      <c r="DM43">
        <v>629527835</v>
      </c>
      <c r="DN43" t="s">
        <v>806</v>
      </c>
      <c r="DO43" s="1">
        <v>46005.188414351847</v>
      </c>
      <c r="DR43" t="s">
        <v>62</v>
      </c>
      <c r="DT43" t="s">
        <v>76</v>
      </c>
      <c r="DV43" t="s">
        <v>807</v>
      </c>
      <c r="DW43">
        <v>54</v>
      </c>
    </row>
    <row r="44" spans="1:127" x14ac:dyDescent="0.25">
      <c r="A44" s="1">
        <v>46005.313398043982</v>
      </c>
      <c r="B44" s="1">
        <v>46007.673594050917</v>
      </c>
      <c r="F44" t="s">
        <v>63</v>
      </c>
      <c r="H44" t="s">
        <v>85</v>
      </c>
      <c r="I44" s="1">
        <v>46006</v>
      </c>
      <c r="J44" t="s">
        <v>808</v>
      </c>
      <c r="K44" t="s">
        <v>809</v>
      </c>
      <c r="L44">
        <v>-2.448337</v>
      </c>
      <c r="M44">
        <v>37.966602999999999</v>
      </c>
      <c r="N44">
        <v>925.8</v>
      </c>
      <c r="O44">
        <v>8.3999996185302734</v>
      </c>
      <c r="Q44" t="s">
        <v>810</v>
      </c>
      <c r="R44" t="s">
        <v>64</v>
      </c>
      <c r="S44" t="s">
        <v>130</v>
      </c>
      <c r="U44">
        <v>2</v>
      </c>
      <c r="V44">
        <v>4</v>
      </c>
      <c r="W44">
        <v>725111645</v>
      </c>
      <c r="X44" t="s">
        <v>282</v>
      </c>
      <c r="Y44" t="s">
        <v>67</v>
      </c>
      <c r="AA44" t="s">
        <v>265</v>
      </c>
      <c r="AB44">
        <v>1</v>
      </c>
      <c r="AC44">
        <v>0</v>
      </c>
      <c r="AD44">
        <v>1</v>
      </c>
      <c r="AE44">
        <v>0</v>
      </c>
      <c r="AG44" t="s">
        <v>90</v>
      </c>
      <c r="AH44" t="s">
        <v>70</v>
      </c>
      <c r="AI44" t="s">
        <v>192</v>
      </c>
      <c r="AJ44">
        <v>0</v>
      </c>
      <c r="AK44">
        <v>0</v>
      </c>
      <c r="AL44">
        <v>1</v>
      </c>
      <c r="AM44">
        <v>1</v>
      </c>
      <c r="AN44">
        <v>0</v>
      </c>
      <c r="AP44" t="s">
        <v>91</v>
      </c>
      <c r="AQ44">
        <v>1</v>
      </c>
      <c r="AR44">
        <v>0</v>
      </c>
      <c r="AS44">
        <v>1</v>
      </c>
      <c r="AT44">
        <v>0</v>
      </c>
      <c r="AU44">
        <v>0</v>
      </c>
      <c r="AV44">
        <v>0</v>
      </c>
      <c r="AX44" t="s">
        <v>115</v>
      </c>
      <c r="AY44">
        <v>1</v>
      </c>
      <c r="AZ44">
        <v>1</v>
      </c>
      <c r="BA44">
        <v>1</v>
      </c>
      <c r="BB44">
        <v>1</v>
      </c>
      <c r="BC44">
        <v>1</v>
      </c>
      <c r="BD44">
        <v>1</v>
      </c>
      <c r="BE44">
        <v>1</v>
      </c>
      <c r="BF44">
        <v>1</v>
      </c>
      <c r="BG44">
        <v>0</v>
      </c>
      <c r="BJ44" t="s">
        <v>811</v>
      </c>
      <c r="BK44">
        <v>1</v>
      </c>
      <c r="BL44">
        <v>1</v>
      </c>
      <c r="BM44">
        <v>0</v>
      </c>
      <c r="BN44">
        <v>1</v>
      </c>
      <c r="BO44">
        <v>1</v>
      </c>
      <c r="BP44">
        <v>0</v>
      </c>
      <c r="BQ44">
        <v>0</v>
      </c>
      <c r="BR44">
        <v>1</v>
      </c>
      <c r="BS44">
        <v>0</v>
      </c>
      <c r="BT44">
        <v>0</v>
      </c>
      <c r="BU44">
        <v>0</v>
      </c>
      <c r="BV44">
        <v>0</v>
      </c>
      <c r="BW44">
        <v>1</v>
      </c>
      <c r="BX44">
        <v>0</v>
      </c>
      <c r="BY44">
        <v>0</v>
      </c>
      <c r="BZ44">
        <v>0</v>
      </c>
      <c r="CA44">
        <v>0</v>
      </c>
      <c r="CB44">
        <v>0</v>
      </c>
      <c r="CC44">
        <v>1</v>
      </c>
      <c r="CD44">
        <v>0</v>
      </c>
      <c r="CE44">
        <v>0</v>
      </c>
      <c r="CF44">
        <v>0</v>
      </c>
      <c r="CG44">
        <v>1</v>
      </c>
      <c r="CH44">
        <v>0</v>
      </c>
      <c r="CI44">
        <v>0</v>
      </c>
      <c r="CJ44">
        <v>0</v>
      </c>
      <c r="CK44">
        <v>1</v>
      </c>
      <c r="CL44">
        <v>1</v>
      </c>
      <c r="CM44">
        <v>0</v>
      </c>
      <c r="CO44" t="s">
        <v>94</v>
      </c>
      <c r="CP44" t="s">
        <v>812</v>
      </c>
      <c r="CQ44" t="s">
        <v>102</v>
      </c>
      <c r="CR44" t="s">
        <v>813</v>
      </c>
      <c r="CS44" t="s">
        <v>98</v>
      </c>
      <c r="CT44" t="s">
        <v>814</v>
      </c>
      <c r="CU44" t="s">
        <v>236</v>
      </c>
      <c r="CV44" t="s">
        <v>815</v>
      </c>
      <c r="CW44" t="s">
        <v>100</v>
      </c>
      <c r="CX44" t="s">
        <v>816</v>
      </c>
      <c r="CY44" t="s">
        <v>817</v>
      </c>
      <c r="CZ44" t="s">
        <v>818</v>
      </c>
      <c r="DB44" t="s">
        <v>74</v>
      </c>
      <c r="DC44" t="s">
        <v>80</v>
      </c>
      <c r="DD44">
        <v>0</v>
      </c>
      <c r="DE44">
        <v>0</v>
      </c>
      <c r="DF44">
        <v>1</v>
      </c>
      <c r="DG44">
        <v>0</v>
      </c>
      <c r="DH44">
        <v>0</v>
      </c>
      <c r="DJ44" t="s">
        <v>819</v>
      </c>
      <c r="DK44" t="s">
        <v>820</v>
      </c>
      <c r="DL44" t="s">
        <v>821</v>
      </c>
      <c r="DM44">
        <v>634186210</v>
      </c>
      <c r="DN44" t="s">
        <v>822</v>
      </c>
      <c r="DO44" s="1">
        <v>46010.681226851862</v>
      </c>
      <c r="DR44" t="s">
        <v>62</v>
      </c>
      <c r="DT44" t="s">
        <v>76</v>
      </c>
      <c r="DV44" t="s">
        <v>823</v>
      </c>
      <c r="DW44">
        <v>55</v>
      </c>
    </row>
    <row r="45" spans="1:127" x14ac:dyDescent="0.25">
      <c r="A45" s="1">
        <v>45996.448212511583</v>
      </c>
      <c r="B45" s="1">
        <v>46010.430953449068</v>
      </c>
      <c r="F45" t="s">
        <v>63</v>
      </c>
      <c r="H45" t="s">
        <v>85</v>
      </c>
      <c r="I45" s="1">
        <v>45996</v>
      </c>
      <c r="J45" t="s">
        <v>681</v>
      </c>
      <c r="K45" t="s">
        <v>824</v>
      </c>
      <c r="L45">
        <v>-2.402393</v>
      </c>
      <c r="M45">
        <v>38.088343000000002</v>
      </c>
      <c r="N45">
        <v>743.80000000000007</v>
      </c>
      <c r="O45">
        <v>9.8999996185302734</v>
      </c>
      <c r="Q45" t="s">
        <v>825</v>
      </c>
      <c r="R45" t="s">
        <v>20</v>
      </c>
      <c r="S45" t="s">
        <v>471</v>
      </c>
      <c r="U45">
        <v>2</v>
      </c>
      <c r="V45">
        <v>2</v>
      </c>
      <c r="W45">
        <v>702777943</v>
      </c>
      <c r="X45" t="s">
        <v>150</v>
      </c>
      <c r="Y45" t="s">
        <v>247</v>
      </c>
      <c r="AA45" t="s">
        <v>265</v>
      </c>
      <c r="AB45">
        <v>1</v>
      </c>
      <c r="AC45">
        <v>0</v>
      </c>
      <c r="AD45">
        <v>1</v>
      </c>
      <c r="AE45">
        <v>0</v>
      </c>
      <c r="AG45" t="s">
        <v>90</v>
      </c>
      <c r="AH45" t="s">
        <v>70</v>
      </c>
      <c r="AI45" t="s">
        <v>284</v>
      </c>
      <c r="AJ45">
        <v>1</v>
      </c>
      <c r="AK45">
        <v>0</v>
      </c>
      <c r="AL45">
        <v>0</v>
      </c>
      <c r="AM45">
        <v>1</v>
      </c>
      <c r="AN45">
        <v>0</v>
      </c>
      <c r="AP45" t="s">
        <v>91</v>
      </c>
      <c r="AQ45">
        <v>1</v>
      </c>
      <c r="AR45">
        <v>0</v>
      </c>
      <c r="AS45">
        <v>1</v>
      </c>
      <c r="AT45">
        <v>0</v>
      </c>
      <c r="AU45">
        <v>0</v>
      </c>
      <c r="AV45">
        <v>0</v>
      </c>
      <c r="AX45" t="s">
        <v>115</v>
      </c>
      <c r="AY45">
        <v>1</v>
      </c>
      <c r="AZ45">
        <v>1</v>
      </c>
      <c r="BA45">
        <v>1</v>
      </c>
      <c r="BB45">
        <v>1</v>
      </c>
      <c r="BC45">
        <v>1</v>
      </c>
      <c r="BD45">
        <v>1</v>
      </c>
      <c r="BE45">
        <v>1</v>
      </c>
      <c r="BF45">
        <v>1</v>
      </c>
      <c r="BG45">
        <v>0</v>
      </c>
      <c r="BJ45" t="s">
        <v>826</v>
      </c>
      <c r="BK45">
        <v>1</v>
      </c>
      <c r="BL45">
        <v>1</v>
      </c>
      <c r="BM45">
        <v>0</v>
      </c>
      <c r="BN45">
        <v>1</v>
      </c>
      <c r="BO45">
        <v>1</v>
      </c>
      <c r="BP45">
        <v>0</v>
      </c>
      <c r="BQ45">
        <v>0</v>
      </c>
      <c r="BR45">
        <v>0</v>
      </c>
      <c r="BS45">
        <v>0</v>
      </c>
      <c r="BT45">
        <v>0</v>
      </c>
      <c r="BU45">
        <v>0</v>
      </c>
      <c r="BV45">
        <v>0</v>
      </c>
      <c r="BW45">
        <v>1</v>
      </c>
      <c r="BX45">
        <v>0</v>
      </c>
      <c r="BY45">
        <v>1</v>
      </c>
      <c r="BZ45">
        <v>0</v>
      </c>
      <c r="CA45">
        <v>0</v>
      </c>
      <c r="CB45">
        <v>0</v>
      </c>
      <c r="CC45">
        <v>1</v>
      </c>
      <c r="CD45">
        <v>0</v>
      </c>
      <c r="CE45">
        <v>0</v>
      </c>
      <c r="CF45">
        <v>0</v>
      </c>
      <c r="CG45">
        <v>1</v>
      </c>
      <c r="CH45">
        <v>1</v>
      </c>
      <c r="CI45">
        <v>0</v>
      </c>
      <c r="CJ45">
        <v>0</v>
      </c>
      <c r="CK45">
        <v>1</v>
      </c>
      <c r="CL45">
        <v>0</v>
      </c>
      <c r="CM45">
        <v>0</v>
      </c>
      <c r="CO45" t="s">
        <v>102</v>
      </c>
      <c r="CP45" t="s">
        <v>827</v>
      </c>
      <c r="CQ45" t="s">
        <v>94</v>
      </c>
      <c r="CR45" t="s">
        <v>669</v>
      </c>
      <c r="CS45" t="s">
        <v>199</v>
      </c>
      <c r="CT45" t="s">
        <v>828</v>
      </c>
      <c r="CU45" t="s">
        <v>138</v>
      </c>
      <c r="CV45" t="s">
        <v>829</v>
      </c>
      <c r="CW45" t="s">
        <v>98</v>
      </c>
      <c r="CX45" t="s">
        <v>830</v>
      </c>
      <c r="CY45" t="s">
        <v>831</v>
      </c>
      <c r="CZ45" t="s">
        <v>832</v>
      </c>
      <c r="DB45" t="s">
        <v>74</v>
      </c>
      <c r="DC45" t="s">
        <v>80</v>
      </c>
      <c r="DD45">
        <v>0</v>
      </c>
      <c r="DE45">
        <v>0</v>
      </c>
      <c r="DF45">
        <v>1</v>
      </c>
      <c r="DG45">
        <v>0</v>
      </c>
      <c r="DH45">
        <v>0</v>
      </c>
      <c r="DJ45" t="s">
        <v>833</v>
      </c>
      <c r="DK45" t="s">
        <v>834</v>
      </c>
      <c r="DL45" t="s">
        <v>835</v>
      </c>
      <c r="DM45">
        <v>634186230</v>
      </c>
      <c r="DN45" t="s">
        <v>836</v>
      </c>
      <c r="DO45" s="1">
        <v>46010.681250000001</v>
      </c>
      <c r="DR45" t="s">
        <v>62</v>
      </c>
      <c r="DT45" t="s">
        <v>76</v>
      </c>
      <c r="DV45" t="s">
        <v>837</v>
      </c>
      <c r="DW45">
        <v>57</v>
      </c>
    </row>
    <row r="46" spans="1:127" x14ac:dyDescent="0.25">
      <c r="A46" s="1">
        <v>45999.653282164349</v>
      </c>
      <c r="B46" s="1">
        <v>46010.431426238429</v>
      </c>
      <c r="F46" t="s">
        <v>63</v>
      </c>
      <c r="H46" t="s">
        <v>85</v>
      </c>
      <c r="I46" s="1">
        <v>46000</v>
      </c>
      <c r="J46" t="s">
        <v>648</v>
      </c>
      <c r="K46" t="s">
        <v>838</v>
      </c>
      <c r="L46">
        <v>-2.4159519999999999</v>
      </c>
      <c r="M46">
        <v>38.080390000000001</v>
      </c>
      <c r="N46">
        <v>772.90000000000009</v>
      </c>
      <c r="O46">
        <v>6.1999998092651367</v>
      </c>
      <c r="Q46" t="s">
        <v>839</v>
      </c>
      <c r="R46" t="s">
        <v>64</v>
      </c>
      <c r="S46" t="s">
        <v>89</v>
      </c>
      <c r="U46">
        <v>2</v>
      </c>
      <c r="V46">
        <v>2</v>
      </c>
      <c r="X46" t="s">
        <v>150</v>
      </c>
      <c r="Y46" t="s">
        <v>78</v>
      </c>
      <c r="AA46" t="s">
        <v>68</v>
      </c>
      <c r="AB46">
        <v>1</v>
      </c>
      <c r="AC46">
        <v>1</v>
      </c>
      <c r="AD46">
        <v>1</v>
      </c>
      <c r="AE46">
        <v>0</v>
      </c>
      <c r="AG46" t="s">
        <v>90</v>
      </c>
      <c r="AH46" t="s">
        <v>70</v>
      </c>
      <c r="AI46" t="s">
        <v>284</v>
      </c>
      <c r="AJ46">
        <v>1</v>
      </c>
      <c r="AK46">
        <v>0</v>
      </c>
      <c r="AL46">
        <v>0</v>
      </c>
      <c r="AM46">
        <v>1</v>
      </c>
      <c r="AN46">
        <v>0</v>
      </c>
      <c r="AP46" t="s">
        <v>91</v>
      </c>
      <c r="AQ46">
        <v>1</v>
      </c>
      <c r="AR46">
        <v>0</v>
      </c>
      <c r="AS46">
        <v>1</v>
      </c>
      <c r="AT46">
        <v>0</v>
      </c>
      <c r="AU46">
        <v>0</v>
      </c>
      <c r="AV46">
        <v>0</v>
      </c>
      <c r="AX46" t="s">
        <v>115</v>
      </c>
      <c r="AY46">
        <v>1</v>
      </c>
      <c r="AZ46">
        <v>1</v>
      </c>
      <c r="BA46">
        <v>1</v>
      </c>
      <c r="BB46">
        <v>1</v>
      </c>
      <c r="BC46">
        <v>1</v>
      </c>
      <c r="BD46">
        <v>1</v>
      </c>
      <c r="BE46">
        <v>1</v>
      </c>
      <c r="BF46">
        <v>1</v>
      </c>
      <c r="BG46">
        <v>0</v>
      </c>
      <c r="BJ46" t="s">
        <v>840</v>
      </c>
      <c r="BK46">
        <v>1</v>
      </c>
      <c r="BL46">
        <v>1</v>
      </c>
      <c r="BM46">
        <v>1</v>
      </c>
      <c r="BN46">
        <v>1</v>
      </c>
      <c r="BO46">
        <v>1</v>
      </c>
      <c r="BP46">
        <v>0</v>
      </c>
      <c r="BQ46">
        <v>0</v>
      </c>
      <c r="BR46">
        <v>0</v>
      </c>
      <c r="BS46">
        <v>0</v>
      </c>
      <c r="BT46">
        <v>0</v>
      </c>
      <c r="BU46">
        <v>0</v>
      </c>
      <c r="BV46">
        <v>0</v>
      </c>
      <c r="BW46">
        <v>1</v>
      </c>
      <c r="BX46">
        <v>0</v>
      </c>
      <c r="BY46">
        <v>1</v>
      </c>
      <c r="BZ46">
        <v>0</v>
      </c>
      <c r="CA46">
        <v>0</v>
      </c>
      <c r="CB46">
        <v>0</v>
      </c>
      <c r="CC46">
        <v>1</v>
      </c>
      <c r="CD46">
        <v>0</v>
      </c>
      <c r="CE46">
        <v>0</v>
      </c>
      <c r="CF46">
        <v>0</v>
      </c>
      <c r="CG46">
        <v>1</v>
      </c>
      <c r="CH46">
        <v>1</v>
      </c>
      <c r="CI46">
        <v>0</v>
      </c>
      <c r="CJ46">
        <v>0</v>
      </c>
      <c r="CK46">
        <v>0</v>
      </c>
      <c r="CL46">
        <v>0</v>
      </c>
      <c r="CM46">
        <v>0</v>
      </c>
      <c r="CO46" t="s">
        <v>94</v>
      </c>
      <c r="CP46" t="s">
        <v>841</v>
      </c>
      <c r="CQ46" t="s">
        <v>102</v>
      </c>
      <c r="CR46" t="s">
        <v>842</v>
      </c>
      <c r="CS46" t="s">
        <v>199</v>
      </c>
      <c r="CT46" t="s">
        <v>843</v>
      </c>
      <c r="CU46" t="s">
        <v>138</v>
      </c>
      <c r="CV46" t="s">
        <v>844</v>
      </c>
      <c r="CW46" t="s">
        <v>236</v>
      </c>
      <c r="CX46" t="s">
        <v>845</v>
      </c>
      <c r="CY46" t="s">
        <v>846</v>
      </c>
      <c r="CZ46" t="s">
        <v>847</v>
      </c>
      <c r="DB46" t="s">
        <v>74</v>
      </c>
      <c r="DC46" t="s">
        <v>848</v>
      </c>
      <c r="DD46">
        <v>0</v>
      </c>
      <c r="DE46">
        <v>0</v>
      </c>
      <c r="DF46">
        <v>1</v>
      </c>
      <c r="DG46">
        <v>1</v>
      </c>
      <c r="DH46">
        <v>0</v>
      </c>
      <c r="DJ46" t="s">
        <v>849</v>
      </c>
      <c r="DK46" t="s">
        <v>850</v>
      </c>
      <c r="DL46" t="s">
        <v>851</v>
      </c>
      <c r="DM46">
        <v>634186242</v>
      </c>
      <c r="DN46" t="s">
        <v>852</v>
      </c>
      <c r="DO46" s="1">
        <v>46010.681261574071</v>
      </c>
      <c r="DR46" t="s">
        <v>62</v>
      </c>
      <c r="DT46" t="s">
        <v>76</v>
      </c>
      <c r="DV46" t="s">
        <v>853</v>
      </c>
      <c r="DW46">
        <v>58</v>
      </c>
    </row>
    <row r="47" spans="1:127" x14ac:dyDescent="0.25">
      <c r="A47" s="1">
        <v>46008.55998820602</v>
      </c>
      <c r="B47" s="1">
        <v>46010.439020335652</v>
      </c>
      <c r="F47" t="s">
        <v>63</v>
      </c>
      <c r="H47" t="s">
        <v>85</v>
      </c>
      <c r="I47" s="1">
        <v>46008</v>
      </c>
      <c r="J47" t="s">
        <v>854</v>
      </c>
      <c r="K47" t="s">
        <v>855</v>
      </c>
      <c r="L47">
        <v>-2.4583970000000002</v>
      </c>
      <c r="M47">
        <v>37.968316999999999</v>
      </c>
      <c r="N47">
        <v>952.19999999999993</v>
      </c>
      <c r="O47">
        <v>10.69999980926514</v>
      </c>
      <c r="Q47" t="s">
        <v>856</v>
      </c>
      <c r="R47" t="s">
        <v>64</v>
      </c>
      <c r="S47" t="s">
        <v>317</v>
      </c>
      <c r="U47">
        <v>2</v>
      </c>
      <c r="V47">
        <v>3</v>
      </c>
      <c r="W47">
        <v>798838441</v>
      </c>
      <c r="X47" t="s">
        <v>857</v>
      </c>
      <c r="Y47" t="s">
        <v>67</v>
      </c>
      <c r="AA47" t="s">
        <v>265</v>
      </c>
      <c r="AB47">
        <v>1</v>
      </c>
      <c r="AC47">
        <v>0</v>
      </c>
      <c r="AD47">
        <v>1</v>
      </c>
      <c r="AE47">
        <v>0</v>
      </c>
      <c r="AG47" t="s">
        <v>90</v>
      </c>
      <c r="AH47" t="s">
        <v>70</v>
      </c>
      <c r="AI47" t="s">
        <v>284</v>
      </c>
      <c r="AJ47">
        <v>1</v>
      </c>
      <c r="AK47">
        <v>0</v>
      </c>
      <c r="AL47">
        <v>0</v>
      </c>
      <c r="AM47">
        <v>1</v>
      </c>
      <c r="AN47">
        <v>0</v>
      </c>
      <c r="AP47" t="s">
        <v>91</v>
      </c>
      <c r="AQ47">
        <v>1</v>
      </c>
      <c r="AR47">
        <v>0</v>
      </c>
      <c r="AS47">
        <v>1</v>
      </c>
      <c r="AT47">
        <v>0</v>
      </c>
      <c r="AU47">
        <v>0</v>
      </c>
      <c r="AV47">
        <v>0</v>
      </c>
      <c r="AX47" t="s">
        <v>115</v>
      </c>
      <c r="AY47">
        <v>1</v>
      </c>
      <c r="AZ47">
        <v>1</v>
      </c>
      <c r="BA47">
        <v>1</v>
      </c>
      <c r="BB47">
        <v>1</v>
      </c>
      <c r="BC47">
        <v>1</v>
      </c>
      <c r="BD47">
        <v>1</v>
      </c>
      <c r="BE47">
        <v>1</v>
      </c>
      <c r="BF47">
        <v>1</v>
      </c>
      <c r="BG47">
        <v>0</v>
      </c>
      <c r="BJ47" t="s">
        <v>858</v>
      </c>
      <c r="BK47">
        <v>1</v>
      </c>
      <c r="BL47">
        <v>1</v>
      </c>
      <c r="BM47">
        <v>1</v>
      </c>
      <c r="BN47">
        <v>1</v>
      </c>
      <c r="BO47">
        <v>1</v>
      </c>
      <c r="BP47">
        <v>0</v>
      </c>
      <c r="BQ47">
        <v>0</v>
      </c>
      <c r="BR47">
        <v>1</v>
      </c>
      <c r="BS47">
        <v>0</v>
      </c>
      <c r="BT47">
        <v>0</v>
      </c>
      <c r="BU47">
        <v>0</v>
      </c>
      <c r="BV47">
        <v>0</v>
      </c>
      <c r="BW47">
        <v>1</v>
      </c>
      <c r="BX47">
        <v>0</v>
      </c>
      <c r="BY47">
        <v>0</v>
      </c>
      <c r="BZ47">
        <v>0</v>
      </c>
      <c r="CA47">
        <v>0</v>
      </c>
      <c r="CB47">
        <v>0</v>
      </c>
      <c r="CC47">
        <v>1</v>
      </c>
      <c r="CD47">
        <v>0</v>
      </c>
      <c r="CE47">
        <v>0</v>
      </c>
      <c r="CF47">
        <v>0</v>
      </c>
      <c r="CG47">
        <v>1</v>
      </c>
      <c r="CH47">
        <v>0</v>
      </c>
      <c r="CI47">
        <v>0</v>
      </c>
      <c r="CJ47">
        <v>0</v>
      </c>
      <c r="CK47">
        <v>1</v>
      </c>
      <c r="CL47">
        <v>0</v>
      </c>
      <c r="CM47">
        <v>0</v>
      </c>
      <c r="CO47" t="s">
        <v>94</v>
      </c>
      <c r="CP47" t="s">
        <v>859</v>
      </c>
      <c r="CQ47" t="s">
        <v>102</v>
      </c>
      <c r="CR47" t="s">
        <v>860</v>
      </c>
      <c r="CS47" t="s">
        <v>98</v>
      </c>
      <c r="CT47" t="s">
        <v>719</v>
      </c>
      <c r="CU47" t="s">
        <v>236</v>
      </c>
      <c r="CV47" t="s">
        <v>861</v>
      </c>
      <c r="CW47" t="s">
        <v>749</v>
      </c>
      <c r="CX47" t="s">
        <v>862</v>
      </c>
      <c r="CY47" t="s">
        <v>863</v>
      </c>
      <c r="CZ47" t="s">
        <v>608</v>
      </c>
      <c r="DB47" t="s">
        <v>74</v>
      </c>
      <c r="DC47" t="s">
        <v>80</v>
      </c>
      <c r="DD47">
        <v>0</v>
      </c>
      <c r="DE47">
        <v>0</v>
      </c>
      <c r="DF47">
        <v>1</v>
      </c>
      <c r="DG47">
        <v>0</v>
      </c>
      <c r="DH47">
        <v>0</v>
      </c>
      <c r="DJ47" t="s">
        <v>864</v>
      </c>
      <c r="DK47" t="s">
        <v>865</v>
      </c>
      <c r="DL47" t="s">
        <v>866</v>
      </c>
      <c r="DM47">
        <v>634186257</v>
      </c>
      <c r="DN47" t="s">
        <v>867</v>
      </c>
      <c r="DO47" s="1">
        <v>46010.681273148148</v>
      </c>
      <c r="DR47" t="s">
        <v>62</v>
      </c>
      <c r="DT47" t="s">
        <v>76</v>
      </c>
      <c r="DV47" t="s">
        <v>868</v>
      </c>
      <c r="DW47">
        <v>59</v>
      </c>
    </row>
    <row r="48" spans="1:127" x14ac:dyDescent="0.25">
      <c r="A48" s="1">
        <v>46006.508827696758</v>
      </c>
      <c r="B48" s="1">
        <v>46010.453344444453</v>
      </c>
      <c r="F48" t="s">
        <v>63</v>
      </c>
      <c r="H48" t="s">
        <v>85</v>
      </c>
      <c r="I48" s="1">
        <v>46006</v>
      </c>
      <c r="J48" t="s">
        <v>869</v>
      </c>
      <c r="K48" t="s">
        <v>870</v>
      </c>
      <c r="L48">
        <v>-2.4452980000000002</v>
      </c>
      <c r="M48">
        <v>37.96678</v>
      </c>
      <c r="N48">
        <v>878.69999999999993</v>
      </c>
      <c r="O48">
        <v>7.1999998092651367</v>
      </c>
      <c r="Q48" t="s">
        <v>871</v>
      </c>
      <c r="R48" t="s">
        <v>64</v>
      </c>
      <c r="S48" t="s">
        <v>190</v>
      </c>
      <c r="U48">
        <v>5</v>
      </c>
      <c r="V48">
        <v>2</v>
      </c>
      <c r="W48">
        <v>725360887</v>
      </c>
      <c r="X48" t="s">
        <v>872</v>
      </c>
      <c r="Y48" t="s">
        <v>78</v>
      </c>
      <c r="AA48" t="s">
        <v>68</v>
      </c>
      <c r="AB48">
        <v>1</v>
      </c>
      <c r="AC48">
        <v>1</v>
      </c>
      <c r="AD48">
        <v>1</v>
      </c>
      <c r="AE48">
        <v>0</v>
      </c>
      <c r="AG48" t="s">
        <v>90</v>
      </c>
      <c r="AH48" t="s">
        <v>70</v>
      </c>
      <c r="AI48" t="s">
        <v>113</v>
      </c>
      <c r="AJ48">
        <v>1</v>
      </c>
      <c r="AK48">
        <v>0</v>
      </c>
      <c r="AL48">
        <v>1</v>
      </c>
      <c r="AM48">
        <v>1</v>
      </c>
      <c r="AN48">
        <v>0</v>
      </c>
      <c r="AP48" t="s">
        <v>91</v>
      </c>
      <c r="AQ48">
        <v>1</v>
      </c>
      <c r="AR48">
        <v>0</v>
      </c>
      <c r="AS48">
        <v>1</v>
      </c>
      <c r="AT48">
        <v>0</v>
      </c>
      <c r="AU48">
        <v>0</v>
      </c>
      <c r="AV48">
        <v>0</v>
      </c>
      <c r="AX48" t="s">
        <v>115</v>
      </c>
      <c r="AY48">
        <v>1</v>
      </c>
      <c r="AZ48">
        <v>1</v>
      </c>
      <c r="BA48">
        <v>1</v>
      </c>
      <c r="BB48">
        <v>1</v>
      </c>
      <c r="BC48">
        <v>1</v>
      </c>
      <c r="BD48">
        <v>1</v>
      </c>
      <c r="BE48">
        <v>1</v>
      </c>
      <c r="BF48">
        <v>1</v>
      </c>
      <c r="BG48">
        <v>0</v>
      </c>
      <c r="BJ48" t="s">
        <v>618</v>
      </c>
      <c r="BK48">
        <v>1</v>
      </c>
      <c r="BL48">
        <v>1</v>
      </c>
      <c r="BM48">
        <v>0</v>
      </c>
      <c r="BN48">
        <v>1</v>
      </c>
      <c r="BO48">
        <v>1</v>
      </c>
      <c r="BP48">
        <v>0</v>
      </c>
      <c r="BQ48">
        <v>0</v>
      </c>
      <c r="BR48">
        <v>0</v>
      </c>
      <c r="BS48">
        <v>0</v>
      </c>
      <c r="BT48">
        <v>0</v>
      </c>
      <c r="BU48">
        <v>0</v>
      </c>
      <c r="BV48">
        <v>0</v>
      </c>
      <c r="BW48">
        <v>1</v>
      </c>
      <c r="BX48">
        <v>0</v>
      </c>
      <c r="BY48">
        <v>0</v>
      </c>
      <c r="BZ48">
        <v>0</v>
      </c>
      <c r="CA48">
        <v>0</v>
      </c>
      <c r="CB48">
        <v>0</v>
      </c>
      <c r="CC48">
        <v>1</v>
      </c>
      <c r="CD48">
        <v>0</v>
      </c>
      <c r="CE48">
        <v>0</v>
      </c>
      <c r="CF48">
        <v>0</v>
      </c>
      <c r="CG48">
        <v>1</v>
      </c>
      <c r="CH48">
        <v>1</v>
      </c>
      <c r="CI48">
        <v>0</v>
      </c>
      <c r="CJ48">
        <v>0</v>
      </c>
      <c r="CK48">
        <v>1</v>
      </c>
      <c r="CL48">
        <v>1</v>
      </c>
      <c r="CM48">
        <v>0</v>
      </c>
      <c r="CO48" t="s">
        <v>98</v>
      </c>
      <c r="CP48" t="s">
        <v>873</v>
      </c>
      <c r="CQ48" t="s">
        <v>94</v>
      </c>
      <c r="CR48" t="s">
        <v>874</v>
      </c>
      <c r="CS48" t="s">
        <v>102</v>
      </c>
      <c r="CT48" t="s">
        <v>875</v>
      </c>
      <c r="CU48" t="s">
        <v>236</v>
      </c>
      <c r="CV48" t="s">
        <v>876</v>
      </c>
      <c r="CW48" t="s">
        <v>100</v>
      </c>
      <c r="CX48" t="s">
        <v>877</v>
      </c>
      <c r="CY48" t="s">
        <v>528</v>
      </c>
      <c r="CZ48" t="s">
        <v>878</v>
      </c>
      <c r="DB48" t="s">
        <v>74</v>
      </c>
      <c r="DC48" t="s">
        <v>80</v>
      </c>
      <c r="DD48">
        <v>0</v>
      </c>
      <c r="DE48">
        <v>0</v>
      </c>
      <c r="DF48">
        <v>1</v>
      </c>
      <c r="DG48">
        <v>0</v>
      </c>
      <c r="DH48">
        <v>0</v>
      </c>
      <c r="DJ48" t="s">
        <v>879</v>
      </c>
      <c r="DK48" t="s">
        <v>880</v>
      </c>
      <c r="DL48" t="s">
        <v>881</v>
      </c>
      <c r="DM48">
        <v>634186278</v>
      </c>
      <c r="DN48" t="s">
        <v>882</v>
      </c>
      <c r="DO48" s="1">
        <v>46010.681284722217</v>
      </c>
      <c r="DR48" t="s">
        <v>62</v>
      </c>
      <c r="DT48" t="s">
        <v>76</v>
      </c>
      <c r="DV48" t="s">
        <v>883</v>
      </c>
      <c r="DW48">
        <v>60</v>
      </c>
    </row>
    <row r="49" spans="1:127" x14ac:dyDescent="0.25">
      <c r="A49" s="1">
        <v>46006.457605138887</v>
      </c>
      <c r="B49" s="1">
        <v>46010.460961076387</v>
      </c>
      <c r="F49" t="s">
        <v>63</v>
      </c>
      <c r="H49" t="s">
        <v>85</v>
      </c>
      <c r="I49" s="1">
        <v>46006</v>
      </c>
      <c r="J49" t="s">
        <v>884</v>
      </c>
      <c r="K49" t="s">
        <v>885</v>
      </c>
      <c r="L49">
        <v>-2.4456120000000001</v>
      </c>
      <c r="M49">
        <v>37.963034999999998</v>
      </c>
      <c r="N49">
        <v>942.69999999999993</v>
      </c>
      <c r="O49">
        <v>8.6000003814697266</v>
      </c>
      <c r="Q49" t="s">
        <v>886</v>
      </c>
      <c r="R49" t="s">
        <v>64</v>
      </c>
      <c r="S49" t="s">
        <v>409</v>
      </c>
      <c r="U49">
        <v>4</v>
      </c>
      <c r="V49">
        <v>1</v>
      </c>
      <c r="W49">
        <v>707098962</v>
      </c>
      <c r="X49" t="s">
        <v>282</v>
      </c>
      <c r="Y49" t="s">
        <v>67</v>
      </c>
      <c r="AA49" t="s">
        <v>265</v>
      </c>
      <c r="AB49">
        <v>1</v>
      </c>
      <c r="AC49">
        <v>0</v>
      </c>
      <c r="AD49">
        <v>1</v>
      </c>
      <c r="AE49">
        <v>0</v>
      </c>
      <c r="AG49" t="s">
        <v>90</v>
      </c>
      <c r="AH49" t="s">
        <v>70</v>
      </c>
      <c r="AI49" t="s">
        <v>192</v>
      </c>
      <c r="AJ49">
        <v>0</v>
      </c>
      <c r="AK49">
        <v>0</v>
      </c>
      <c r="AL49">
        <v>1</v>
      </c>
      <c r="AM49">
        <v>1</v>
      </c>
      <c r="AN49">
        <v>0</v>
      </c>
      <c r="AP49" t="s">
        <v>392</v>
      </c>
      <c r="AQ49">
        <v>1</v>
      </c>
      <c r="AR49">
        <v>0</v>
      </c>
      <c r="AS49">
        <v>1</v>
      </c>
      <c r="AT49">
        <v>0</v>
      </c>
      <c r="AU49">
        <v>1</v>
      </c>
      <c r="AV49">
        <v>0</v>
      </c>
      <c r="AX49" t="s">
        <v>599</v>
      </c>
      <c r="AY49">
        <v>1</v>
      </c>
      <c r="AZ49">
        <v>1</v>
      </c>
      <c r="BA49">
        <v>0</v>
      </c>
      <c r="BB49">
        <v>1</v>
      </c>
      <c r="BC49">
        <v>1</v>
      </c>
      <c r="BD49">
        <v>0</v>
      </c>
      <c r="BE49">
        <v>1</v>
      </c>
      <c r="BF49">
        <v>1</v>
      </c>
      <c r="BG49">
        <v>0</v>
      </c>
      <c r="BJ49" t="s">
        <v>887</v>
      </c>
      <c r="BK49">
        <v>1</v>
      </c>
      <c r="BL49">
        <v>1</v>
      </c>
      <c r="BM49">
        <v>0</v>
      </c>
      <c r="BN49">
        <v>1</v>
      </c>
      <c r="BO49">
        <v>1</v>
      </c>
      <c r="BP49">
        <v>0</v>
      </c>
      <c r="BQ49">
        <v>0</v>
      </c>
      <c r="BR49">
        <v>1</v>
      </c>
      <c r="BS49">
        <v>0</v>
      </c>
      <c r="BT49">
        <v>0</v>
      </c>
      <c r="BU49">
        <v>0</v>
      </c>
      <c r="BV49">
        <v>0</v>
      </c>
      <c r="BW49">
        <v>1</v>
      </c>
      <c r="BX49">
        <v>0</v>
      </c>
      <c r="BY49">
        <v>0</v>
      </c>
      <c r="BZ49">
        <v>0</v>
      </c>
      <c r="CA49">
        <v>0</v>
      </c>
      <c r="CB49">
        <v>0</v>
      </c>
      <c r="CC49">
        <v>1</v>
      </c>
      <c r="CD49">
        <v>0</v>
      </c>
      <c r="CE49">
        <v>0</v>
      </c>
      <c r="CF49">
        <v>0</v>
      </c>
      <c r="CG49">
        <v>1</v>
      </c>
      <c r="CH49">
        <v>1</v>
      </c>
      <c r="CI49">
        <v>0</v>
      </c>
      <c r="CJ49">
        <v>0</v>
      </c>
      <c r="CK49">
        <v>1</v>
      </c>
      <c r="CL49">
        <v>0</v>
      </c>
      <c r="CM49">
        <v>0</v>
      </c>
      <c r="CO49" t="s">
        <v>94</v>
      </c>
      <c r="CP49" t="s">
        <v>888</v>
      </c>
      <c r="CQ49" t="s">
        <v>102</v>
      </c>
      <c r="CR49" t="s">
        <v>889</v>
      </c>
      <c r="CS49" t="s">
        <v>138</v>
      </c>
      <c r="CT49" t="s">
        <v>890</v>
      </c>
      <c r="CU49" t="s">
        <v>98</v>
      </c>
      <c r="CV49" t="s">
        <v>891</v>
      </c>
      <c r="CW49" t="s">
        <v>253</v>
      </c>
      <c r="CX49" t="s">
        <v>892</v>
      </c>
      <c r="CY49" t="s">
        <v>528</v>
      </c>
      <c r="CZ49" t="s">
        <v>893</v>
      </c>
      <c r="DB49" t="s">
        <v>74</v>
      </c>
      <c r="DC49" t="s">
        <v>80</v>
      </c>
      <c r="DD49">
        <v>0</v>
      </c>
      <c r="DE49">
        <v>0</v>
      </c>
      <c r="DF49">
        <v>1</v>
      </c>
      <c r="DG49">
        <v>0</v>
      </c>
      <c r="DH49">
        <v>0</v>
      </c>
      <c r="DJ49" t="s">
        <v>894</v>
      </c>
      <c r="DK49" t="s">
        <v>895</v>
      </c>
      <c r="DL49" t="s">
        <v>896</v>
      </c>
      <c r="DM49">
        <v>634186290</v>
      </c>
      <c r="DN49" t="s">
        <v>897</v>
      </c>
      <c r="DO49" s="1">
        <v>46010.681296296287</v>
      </c>
      <c r="DR49" t="s">
        <v>62</v>
      </c>
      <c r="DT49" t="s">
        <v>76</v>
      </c>
      <c r="DV49" t="s">
        <v>898</v>
      </c>
      <c r="DW49">
        <v>61</v>
      </c>
    </row>
    <row r="50" spans="1:127" x14ac:dyDescent="0.25">
      <c r="A50" s="1">
        <v>46006.502573368052</v>
      </c>
      <c r="B50" s="1">
        <v>46010.469673194442</v>
      </c>
      <c r="F50" t="s">
        <v>63</v>
      </c>
      <c r="H50" t="s">
        <v>85</v>
      </c>
      <c r="I50" s="1">
        <v>46006</v>
      </c>
      <c r="J50" t="s">
        <v>899</v>
      </c>
      <c r="K50" t="s">
        <v>900</v>
      </c>
      <c r="L50">
        <v>-2.4449100000000001</v>
      </c>
      <c r="M50">
        <v>37.965535000000003</v>
      </c>
      <c r="N50">
        <v>935.19999999999993</v>
      </c>
      <c r="O50">
        <v>99.699996948242188</v>
      </c>
      <c r="Q50" t="s">
        <v>901</v>
      </c>
      <c r="R50" t="s">
        <v>64</v>
      </c>
      <c r="S50" t="s">
        <v>317</v>
      </c>
      <c r="U50">
        <v>7</v>
      </c>
      <c r="V50">
        <v>4</v>
      </c>
      <c r="W50">
        <v>723037193</v>
      </c>
      <c r="X50" t="s">
        <v>857</v>
      </c>
      <c r="Y50" t="s">
        <v>67</v>
      </c>
      <c r="AA50" t="s">
        <v>68</v>
      </c>
      <c r="AB50">
        <v>1</v>
      </c>
      <c r="AC50">
        <v>1</v>
      </c>
      <c r="AD50">
        <v>1</v>
      </c>
      <c r="AE50">
        <v>0</v>
      </c>
      <c r="AG50" t="s">
        <v>90</v>
      </c>
      <c r="AH50" t="s">
        <v>70</v>
      </c>
      <c r="AI50" t="s">
        <v>284</v>
      </c>
      <c r="AJ50">
        <v>1</v>
      </c>
      <c r="AK50">
        <v>0</v>
      </c>
      <c r="AL50">
        <v>0</v>
      </c>
      <c r="AM50">
        <v>1</v>
      </c>
      <c r="AN50">
        <v>0</v>
      </c>
      <c r="AP50" t="s">
        <v>91</v>
      </c>
      <c r="AQ50">
        <v>1</v>
      </c>
      <c r="AR50">
        <v>0</v>
      </c>
      <c r="AS50">
        <v>1</v>
      </c>
      <c r="AT50">
        <v>0</v>
      </c>
      <c r="AU50">
        <v>0</v>
      </c>
      <c r="AV50">
        <v>0</v>
      </c>
      <c r="AX50" t="s">
        <v>902</v>
      </c>
      <c r="AY50">
        <v>1</v>
      </c>
      <c r="AZ50">
        <v>1</v>
      </c>
      <c r="BA50">
        <v>1</v>
      </c>
      <c r="BB50">
        <v>0</v>
      </c>
      <c r="BC50">
        <v>1</v>
      </c>
      <c r="BD50">
        <v>0</v>
      </c>
      <c r="BE50">
        <v>1</v>
      </c>
      <c r="BF50">
        <v>1</v>
      </c>
      <c r="BG50">
        <v>0</v>
      </c>
      <c r="BJ50" t="s">
        <v>903</v>
      </c>
      <c r="BK50">
        <v>1</v>
      </c>
      <c r="BL50">
        <v>1</v>
      </c>
      <c r="BM50">
        <v>0</v>
      </c>
      <c r="BN50">
        <v>1</v>
      </c>
      <c r="BO50">
        <v>1</v>
      </c>
      <c r="BP50">
        <v>0</v>
      </c>
      <c r="BQ50">
        <v>0</v>
      </c>
      <c r="BR50">
        <v>0</v>
      </c>
      <c r="BS50">
        <v>0</v>
      </c>
      <c r="BT50">
        <v>0</v>
      </c>
      <c r="BU50">
        <v>0</v>
      </c>
      <c r="BV50">
        <v>0</v>
      </c>
      <c r="BW50">
        <v>1</v>
      </c>
      <c r="BX50">
        <v>0</v>
      </c>
      <c r="BY50">
        <v>0</v>
      </c>
      <c r="BZ50">
        <v>0</v>
      </c>
      <c r="CA50">
        <v>0</v>
      </c>
      <c r="CB50">
        <v>0</v>
      </c>
      <c r="CC50">
        <v>1</v>
      </c>
      <c r="CD50">
        <v>0</v>
      </c>
      <c r="CE50">
        <v>0</v>
      </c>
      <c r="CF50">
        <v>0</v>
      </c>
      <c r="CG50">
        <v>1</v>
      </c>
      <c r="CH50">
        <v>1</v>
      </c>
      <c r="CI50">
        <v>0</v>
      </c>
      <c r="CJ50">
        <v>0</v>
      </c>
      <c r="CK50">
        <v>1</v>
      </c>
      <c r="CL50">
        <v>0</v>
      </c>
      <c r="CM50">
        <v>0</v>
      </c>
      <c r="CO50" t="s">
        <v>94</v>
      </c>
      <c r="CP50" t="s">
        <v>904</v>
      </c>
      <c r="CQ50" t="s">
        <v>102</v>
      </c>
      <c r="CR50" t="s">
        <v>905</v>
      </c>
      <c r="CS50" t="s">
        <v>96</v>
      </c>
      <c r="CT50" t="s">
        <v>906</v>
      </c>
      <c r="CU50" t="s">
        <v>907</v>
      </c>
      <c r="CV50" t="s">
        <v>908</v>
      </c>
      <c r="CW50" t="s">
        <v>98</v>
      </c>
      <c r="CX50" t="s">
        <v>655</v>
      </c>
      <c r="CY50" t="s">
        <v>528</v>
      </c>
      <c r="CZ50" t="s">
        <v>909</v>
      </c>
      <c r="DB50" t="s">
        <v>74</v>
      </c>
      <c r="DC50" t="s">
        <v>80</v>
      </c>
      <c r="DD50">
        <v>0</v>
      </c>
      <c r="DE50">
        <v>0</v>
      </c>
      <c r="DF50">
        <v>1</v>
      </c>
      <c r="DG50">
        <v>0</v>
      </c>
      <c r="DH50">
        <v>0</v>
      </c>
      <c r="DJ50" t="s">
        <v>910</v>
      </c>
      <c r="DK50" t="s">
        <v>911</v>
      </c>
      <c r="DL50" t="s">
        <v>912</v>
      </c>
      <c r="DM50">
        <v>634186302</v>
      </c>
      <c r="DN50" t="s">
        <v>913</v>
      </c>
      <c r="DO50" s="1">
        <v>46010.681307870371</v>
      </c>
      <c r="DR50" t="s">
        <v>62</v>
      </c>
      <c r="DT50" t="s">
        <v>76</v>
      </c>
      <c r="DV50" t="s">
        <v>914</v>
      </c>
      <c r="DW50">
        <v>62</v>
      </c>
    </row>
    <row r="51" spans="1:127" x14ac:dyDescent="0.25">
      <c r="A51" s="1">
        <v>46006.410572534733</v>
      </c>
      <c r="B51" s="1">
        <v>46010.477565231478</v>
      </c>
      <c r="F51" t="s">
        <v>63</v>
      </c>
      <c r="H51" t="s">
        <v>85</v>
      </c>
      <c r="I51" s="1">
        <v>46006</v>
      </c>
      <c r="J51" t="s">
        <v>854</v>
      </c>
      <c r="K51" t="s">
        <v>915</v>
      </c>
      <c r="L51">
        <v>-2.4511029999999998</v>
      </c>
      <c r="M51">
        <v>37.966365000000003</v>
      </c>
      <c r="N51">
        <v>951</v>
      </c>
      <c r="O51">
        <v>9.8000001907348633</v>
      </c>
      <c r="Q51" t="s">
        <v>916</v>
      </c>
      <c r="R51" t="s">
        <v>64</v>
      </c>
      <c r="S51" t="s">
        <v>190</v>
      </c>
      <c r="U51">
        <v>6</v>
      </c>
      <c r="V51">
        <v>2</v>
      </c>
      <c r="W51">
        <v>724992571</v>
      </c>
      <c r="X51" t="s">
        <v>150</v>
      </c>
      <c r="Y51" t="s">
        <v>67</v>
      </c>
      <c r="AA51" t="s">
        <v>68</v>
      </c>
      <c r="AB51">
        <v>1</v>
      </c>
      <c r="AC51">
        <v>1</v>
      </c>
      <c r="AD51">
        <v>1</v>
      </c>
      <c r="AE51">
        <v>0</v>
      </c>
      <c r="AG51" t="s">
        <v>90</v>
      </c>
      <c r="AH51" t="s">
        <v>70</v>
      </c>
      <c r="AI51" t="s">
        <v>113</v>
      </c>
      <c r="AJ51">
        <v>1</v>
      </c>
      <c r="AK51">
        <v>0</v>
      </c>
      <c r="AL51">
        <v>1</v>
      </c>
      <c r="AM51">
        <v>1</v>
      </c>
      <c r="AN51">
        <v>0</v>
      </c>
      <c r="AP51" t="s">
        <v>91</v>
      </c>
      <c r="AQ51">
        <v>1</v>
      </c>
      <c r="AR51">
        <v>0</v>
      </c>
      <c r="AS51">
        <v>1</v>
      </c>
      <c r="AT51">
        <v>0</v>
      </c>
      <c r="AU51">
        <v>0</v>
      </c>
      <c r="AV51">
        <v>0</v>
      </c>
      <c r="AX51" t="s">
        <v>917</v>
      </c>
      <c r="AY51">
        <v>1</v>
      </c>
      <c r="AZ51">
        <v>1</v>
      </c>
      <c r="BA51">
        <v>1</v>
      </c>
      <c r="BB51">
        <v>1</v>
      </c>
      <c r="BC51">
        <v>1</v>
      </c>
      <c r="BD51">
        <v>0</v>
      </c>
      <c r="BE51">
        <v>1</v>
      </c>
      <c r="BF51">
        <v>1</v>
      </c>
      <c r="BG51">
        <v>0</v>
      </c>
      <c r="BJ51" t="s">
        <v>618</v>
      </c>
      <c r="BK51">
        <v>1</v>
      </c>
      <c r="BL51">
        <v>1</v>
      </c>
      <c r="BM51">
        <v>0</v>
      </c>
      <c r="BN51">
        <v>1</v>
      </c>
      <c r="BO51">
        <v>1</v>
      </c>
      <c r="BP51">
        <v>0</v>
      </c>
      <c r="BQ51">
        <v>0</v>
      </c>
      <c r="BR51">
        <v>0</v>
      </c>
      <c r="BS51">
        <v>0</v>
      </c>
      <c r="BT51">
        <v>0</v>
      </c>
      <c r="BU51">
        <v>0</v>
      </c>
      <c r="BV51">
        <v>0</v>
      </c>
      <c r="BW51">
        <v>1</v>
      </c>
      <c r="BX51">
        <v>0</v>
      </c>
      <c r="BY51">
        <v>0</v>
      </c>
      <c r="BZ51">
        <v>0</v>
      </c>
      <c r="CA51">
        <v>0</v>
      </c>
      <c r="CB51">
        <v>0</v>
      </c>
      <c r="CC51">
        <v>1</v>
      </c>
      <c r="CD51">
        <v>0</v>
      </c>
      <c r="CE51">
        <v>0</v>
      </c>
      <c r="CF51">
        <v>0</v>
      </c>
      <c r="CG51">
        <v>1</v>
      </c>
      <c r="CH51">
        <v>1</v>
      </c>
      <c r="CI51">
        <v>0</v>
      </c>
      <c r="CJ51">
        <v>0</v>
      </c>
      <c r="CK51">
        <v>1</v>
      </c>
      <c r="CL51">
        <v>1</v>
      </c>
      <c r="CM51">
        <v>0</v>
      </c>
      <c r="CO51" t="s">
        <v>94</v>
      </c>
      <c r="CP51" t="s">
        <v>918</v>
      </c>
      <c r="CQ51" t="s">
        <v>102</v>
      </c>
      <c r="CR51" t="s">
        <v>919</v>
      </c>
      <c r="CS51" t="s">
        <v>98</v>
      </c>
      <c r="CT51" t="s">
        <v>785</v>
      </c>
      <c r="CU51" t="s">
        <v>236</v>
      </c>
      <c r="CV51" t="s">
        <v>920</v>
      </c>
      <c r="CW51" t="s">
        <v>921</v>
      </c>
      <c r="CX51" t="s">
        <v>922</v>
      </c>
      <c r="CY51" t="s">
        <v>923</v>
      </c>
      <c r="CZ51" t="s">
        <v>924</v>
      </c>
      <c r="DB51" t="s">
        <v>74</v>
      </c>
      <c r="DC51" t="s">
        <v>80</v>
      </c>
      <c r="DD51">
        <v>0</v>
      </c>
      <c r="DE51">
        <v>0</v>
      </c>
      <c r="DF51">
        <v>1</v>
      </c>
      <c r="DG51">
        <v>0</v>
      </c>
      <c r="DH51">
        <v>0</v>
      </c>
      <c r="DJ51" t="s">
        <v>925</v>
      </c>
      <c r="DK51" t="s">
        <v>435</v>
      </c>
      <c r="DL51" t="s">
        <v>926</v>
      </c>
      <c r="DM51">
        <v>634186311</v>
      </c>
      <c r="DN51" t="s">
        <v>927</v>
      </c>
      <c r="DO51" s="1">
        <v>46010.681307870371</v>
      </c>
      <c r="DR51" t="s">
        <v>62</v>
      </c>
      <c r="DT51" t="s">
        <v>76</v>
      </c>
      <c r="DV51" t="s">
        <v>928</v>
      </c>
      <c r="DW51">
        <v>63</v>
      </c>
    </row>
    <row r="52" spans="1:127" x14ac:dyDescent="0.25">
      <c r="A52" s="1">
        <v>46006.381212997687</v>
      </c>
      <c r="B52" s="1">
        <v>46010.479860833337</v>
      </c>
      <c r="F52" t="s">
        <v>63</v>
      </c>
      <c r="H52" t="s">
        <v>85</v>
      </c>
      <c r="I52" s="1">
        <v>46006</v>
      </c>
      <c r="J52" t="s">
        <v>854</v>
      </c>
      <c r="K52" t="s">
        <v>929</v>
      </c>
      <c r="L52">
        <v>-2.4483250000000001</v>
      </c>
      <c r="M52">
        <v>37.968552000000003</v>
      </c>
      <c r="N52">
        <v>915.5</v>
      </c>
      <c r="O52">
        <v>4.5999999046325684</v>
      </c>
      <c r="Q52" t="s">
        <v>930</v>
      </c>
      <c r="R52" t="s">
        <v>20</v>
      </c>
      <c r="S52" t="s">
        <v>317</v>
      </c>
      <c r="U52">
        <v>3</v>
      </c>
      <c r="V52">
        <v>2</v>
      </c>
      <c r="W52">
        <v>729979576</v>
      </c>
      <c r="X52" t="s">
        <v>150</v>
      </c>
      <c r="Y52" t="s">
        <v>67</v>
      </c>
      <c r="AA52" t="s">
        <v>81</v>
      </c>
      <c r="AB52">
        <v>1</v>
      </c>
      <c r="AC52">
        <v>0</v>
      </c>
      <c r="AD52">
        <v>0</v>
      </c>
      <c r="AE52">
        <v>0</v>
      </c>
      <c r="AG52" t="s">
        <v>90</v>
      </c>
      <c r="AH52" t="s">
        <v>70</v>
      </c>
      <c r="AI52" t="s">
        <v>192</v>
      </c>
      <c r="AJ52">
        <v>0</v>
      </c>
      <c r="AK52">
        <v>0</v>
      </c>
      <c r="AL52">
        <v>1</v>
      </c>
      <c r="AM52">
        <v>1</v>
      </c>
      <c r="AN52">
        <v>0</v>
      </c>
      <c r="AP52" t="s">
        <v>91</v>
      </c>
      <c r="AQ52">
        <v>1</v>
      </c>
      <c r="AR52">
        <v>0</v>
      </c>
      <c r="AS52">
        <v>1</v>
      </c>
      <c r="AT52">
        <v>0</v>
      </c>
      <c r="AU52">
        <v>0</v>
      </c>
      <c r="AV52">
        <v>0</v>
      </c>
      <c r="AX52" t="s">
        <v>599</v>
      </c>
      <c r="AY52">
        <v>1</v>
      </c>
      <c r="AZ52">
        <v>1</v>
      </c>
      <c r="BA52">
        <v>0</v>
      </c>
      <c r="BB52">
        <v>1</v>
      </c>
      <c r="BC52">
        <v>1</v>
      </c>
      <c r="BD52">
        <v>0</v>
      </c>
      <c r="BE52">
        <v>1</v>
      </c>
      <c r="BF52">
        <v>1</v>
      </c>
      <c r="BG52">
        <v>0</v>
      </c>
      <c r="BJ52" t="s">
        <v>931</v>
      </c>
      <c r="BK52">
        <v>1</v>
      </c>
      <c r="BL52">
        <v>1</v>
      </c>
      <c r="BM52">
        <v>1</v>
      </c>
      <c r="BN52">
        <v>1</v>
      </c>
      <c r="BO52">
        <v>1</v>
      </c>
      <c r="BP52">
        <v>0</v>
      </c>
      <c r="BQ52">
        <v>0</v>
      </c>
      <c r="BR52">
        <v>0</v>
      </c>
      <c r="BS52">
        <v>0</v>
      </c>
      <c r="BT52">
        <v>0</v>
      </c>
      <c r="BU52">
        <v>0</v>
      </c>
      <c r="BV52">
        <v>0</v>
      </c>
      <c r="BW52">
        <v>1</v>
      </c>
      <c r="BX52">
        <v>0</v>
      </c>
      <c r="BY52">
        <v>0</v>
      </c>
      <c r="BZ52">
        <v>0</v>
      </c>
      <c r="CA52">
        <v>0</v>
      </c>
      <c r="CB52">
        <v>0</v>
      </c>
      <c r="CC52">
        <v>1</v>
      </c>
      <c r="CD52">
        <v>0</v>
      </c>
      <c r="CE52">
        <v>0</v>
      </c>
      <c r="CF52">
        <v>0</v>
      </c>
      <c r="CG52">
        <v>1</v>
      </c>
      <c r="CH52">
        <v>1</v>
      </c>
      <c r="CI52">
        <v>0</v>
      </c>
      <c r="CJ52">
        <v>0</v>
      </c>
      <c r="CK52">
        <v>1</v>
      </c>
      <c r="CL52">
        <v>0</v>
      </c>
      <c r="CM52">
        <v>0</v>
      </c>
      <c r="CO52" t="s">
        <v>98</v>
      </c>
      <c r="CP52" t="s">
        <v>719</v>
      </c>
      <c r="CQ52" t="s">
        <v>102</v>
      </c>
      <c r="CR52" t="s">
        <v>932</v>
      </c>
      <c r="CS52" t="s">
        <v>94</v>
      </c>
      <c r="CT52" t="s">
        <v>933</v>
      </c>
      <c r="CU52" t="s">
        <v>236</v>
      </c>
      <c r="CV52" t="s">
        <v>934</v>
      </c>
      <c r="CW52" t="s">
        <v>523</v>
      </c>
      <c r="CX52" t="s">
        <v>935</v>
      </c>
      <c r="CY52" t="s">
        <v>528</v>
      </c>
      <c r="CZ52" t="s">
        <v>936</v>
      </c>
      <c r="DB52" t="s">
        <v>74</v>
      </c>
      <c r="DC52" t="s">
        <v>848</v>
      </c>
      <c r="DD52">
        <v>0</v>
      </c>
      <c r="DE52">
        <v>0</v>
      </c>
      <c r="DF52">
        <v>1</v>
      </c>
      <c r="DG52">
        <v>1</v>
      </c>
      <c r="DH52">
        <v>0</v>
      </c>
      <c r="DJ52" t="s">
        <v>937</v>
      </c>
      <c r="DK52" t="s">
        <v>804</v>
      </c>
      <c r="DL52" t="s">
        <v>938</v>
      </c>
      <c r="DM52">
        <v>634186325</v>
      </c>
      <c r="DN52" t="s">
        <v>939</v>
      </c>
      <c r="DO52" s="1">
        <v>46010.681319444448</v>
      </c>
      <c r="DR52" t="s">
        <v>62</v>
      </c>
      <c r="DT52" t="s">
        <v>76</v>
      </c>
      <c r="DV52" t="s">
        <v>940</v>
      </c>
      <c r="DW52">
        <v>64</v>
      </c>
    </row>
    <row r="53" spans="1:127" x14ac:dyDescent="0.25">
      <c r="A53" s="1">
        <v>46006.400448101849</v>
      </c>
      <c r="B53" s="1">
        <v>46010.481502314811</v>
      </c>
      <c r="F53" t="s">
        <v>63</v>
      </c>
      <c r="H53" t="s">
        <v>85</v>
      </c>
      <c r="I53" s="1">
        <v>46006</v>
      </c>
      <c r="J53" t="s">
        <v>854</v>
      </c>
      <c r="K53" t="s">
        <v>941</v>
      </c>
      <c r="L53">
        <v>-2.4495469999999999</v>
      </c>
      <c r="M53">
        <v>37.966732999999998</v>
      </c>
      <c r="N53">
        <v>915.5</v>
      </c>
      <c r="O53">
        <v>5.9000000953674316</v>
      </c>
      <c r="Q53" t="s">
        <v>942</v>
      </c>
      <c r="R53" t="s">
        <v>20</v>
      </c>
      <c r="S53" t="s">
        <v>317</v>
      </c>
      <c r="U53">
        <v>2</v>
      </c>
      <c r="V53">
        <v>3</v>
      </c>
      <c r="W53">
        <v>700746726</v>
      </c>
      <c r="X53" t="s">
        <v>857</v>
      </c>
      <c r="Y53" t="s">
        <v>67</v>
      </c>
      <c r="AA53" t="s">
        <v>211</v>
      </c>
      <c r="AB53">
        <v>1</v>
      </c>
      <c r="AC53">
        <v>1</v>
      </c>
      <c r="AD53">
        <v>0</v>
      </c>
      <c r="AE53">
        <v>0</v>
      </c>
      <c r="AG53" t="s">
        <v>69</v>
      </c>
      <c r="AH53" t="s">
        <v>70</v>
      </c>
      <c r="AI53" t="s">
        <v>943</v>
      </c>
      <c r="AJ53">
        <v>1</v>
      </c>
      <c r="AK53">
        <v>0</v>
      </c>
      <c r="AL53">
        <v>1</v>
      </c>
      <c r="AM53">
        <v>1</v>
      </c>
      <c r="AN53">
        <v>1</v>
      </c>
      <c r="AO53">
        <v>5</v>
      </c>
      <c r="AP53" t="s">
        <v>91</v>
      </c>
      <c r="AQ53">
        <v>1</v>
      </c>
      <c r="AR53">
        <v>0</v>
      </c>
      <c r="AS53">
        <v>1</v>
      </c>
      <c r="AT53">
        <v>0</v>
      </c>
      <c r="AU53">
        <v>0</v>
      </c>
      <c r="AV53">
        <v>0</v>
      </c>
      <c r="AX53" t="s">
        <v>115</v>
      </c>
      <c r="AY53">
        <v>1</v>
      </c>
      <c r="AZ53">
        <v>1</v>
      </c>
      <c r="BA53">
        <v>1</v>
      </c>
      <c r="BB53">
        <v>1</v>
      </c>
      <c r="BC53">
        <v>1</v>
      </c>
      <c r="BD53">
        <v>1</v>
      </c>
      <c r="BE53">
        <v>1</v>
      </c>
      <c r="BF53">
        <v>1</v>
      </c>
      <c r="BG53">
        <v>0</v>
      </c>
      <c r="BJ53" t="s">
        <v>903</v>
      </c>
      <c r="BK53">
        <v>1</v>
      </c>
      <c r="BL53">
        <v>1</v>
      </c>
      <c r="BM53">
        <v>0</v>
      </c>
      <c r="BN53">
        <v>1</v>
      </c>
      <c r="BO53">
        <v>1</v>
      </c>
      <c r="BP53">
        <v>0</v>
      </c>
      <c r="BQ53">
        <v>0</v>
      </c>
      <c r="BR53">
        <v>0</v>
      </c>
      <c r="BS53">
        <v>0</v>
      </c>
      <c r="BT53">
        <v>0</v>
      </c>
      <c r="BU53">
        <v>0</v>
      </c>
      <c r="BV53">
        <v>0</v>
      </c>
      <c r="BW53">
        <v>1</v>
      </c>
      <c r="BX53">
        <v>0</v>
      </c>
      <c r="BY53">
        <v>0</v>
      </c>
      <c r="BZ53">
        <v>0</v>
      </c>
      <c r="CA53">
        <v>0</v>
      </c>
      <c r="CB53">
        <v>0</v>
      </c>
      <c r="CC53">
        <v>1</v>
      </c>
      <c r="CD53">
        <v>0</v>
      </c>
      <c r="CE53">
        <v>0</v>
      </c>
      <c r="CF53">
        <v>0</v>
      </c>
      <c r="CG53">
        <v>1</v>
      </c>
      <c r="CH53">
        <v>1</v>
      </c>
      <c r="CI53">
        <v>0</v>
      </c>
      <c r="CJ53">
        <v>0</v>
      </c>
      <c r="CK53">
        <v>1</v>
      </c>
      <c r="CL53">
        <v>0</v>
      </c>
      <c r="CM53">
        <v>0</v>
      </c>
      <c r="CO53" t="s">
        <v>102</v>
      </c>
      <c r="CP53" t="s">
        <v>944</v>
      </c>
      <c r="CQ53" t="s">
        <v>94</v>
      </c>
      <c r="CR53" t="s">
        <v>945</v>
      </c>
      <c r="CS53" t="s">
        <v>253</v>
      </c>
      <c r="CT53" t="s">
        <v>946</v>
      </c>
      <c r="CU53" t="s">
        <v>98</v>
      </c>
      <c r="CV53" t="s">
        <v>947</v>
      </c>
      <c r="CW53" t="s">
        <v>236</v>
      </c>
      <c r="CX53" t="s">
        <v>948</v>
      </c>
      <c r="CY53" t="s">
        <v>641</v>
      </c>
      <c r="CZ53" t="s">
        <v>721</v>
      </c>
      <c r="DB53" t="s">
        <v>74</v>
      </c>
      <c r="DC53" t="s">
        <v>80</v>
      </c>
      <c r="DD53">
        <v>0</v>
      </c>
      <c r="DE53">
        <v>0</v>
      </c>
      <c r="DF53">
        <v>1</v>
      </c>
      <c r="DG53">
        <v>0</v>
      </c>
      <c r="DH53">
        <v>0</v>
      </c>
      <c r="DJ53" t="s">
        <v>949</v>
      </c>
      <c r="DK53" t="s">
        <v>950</v>
      </c>
      <c r="DL53" t="s">
        <v>951</v>
      </c>
      <c r="DM53">
        <v>634186335</v>
      </c>
      <c r="DN53" t="s">
        <v>952</v>
      </c>
      <c r="DO53" s="1">
        <v>46010.681331018517</v>
      </c>
      <c r="DR53" t="s">
        <v>62</v>
      </c>
      <c r="DT53" t="s">
        <v>76</v>
      </c>
      <c r="DV53" t="s">
        <v>953</v>
      </c>
      <c r="DW53">
        <v>65</v>
      </c>
    </row>
    <row r="54" spans="1:127" x14ac:dyDescent="0.25">
      <c r="A54" s="1">
        <v>46006.35267148148</v>
      </c>
      <c r="B54" s="1">
        <v>46010.482378703702</v>
      </c>
      <c r="F54" t="s">
        <v>63</v>
      </c>
      <c r="H54" t="s">
        <v>85</v>
      </c>
      <c r="I54" s="1">
        <v>46006</v>
      </c>
      <c r="J54" t="s">
        <v>854</v>
      </c>
      <c r="K54" t="s">
        <v>954</v>
      </c>
      <c r="L54">
        <v>-2.448718</v>
      </c>
      <c r="M54">
        <v>37.968290000000003</v>
      </c>
      <c r="N54">
        <v>915.5</v>
      </c>
      <c r="O54">
        <v>5.5</v>
      </c>
      <c r="Q54" t="s">
        <v>955</v>
      </c>
      <c r="R54" t="s">
        <v>64</v>
      </c>
      <c r="S54" t="s">
        <v>190</v>
      </c>
      <c r="U54">
        <v>3</v>
      </c>
      <c r="V54">
        <v>6</v>
      </c>
      <c r="W54">
        <v>726576625</v>
      </c>
      <c r="X54" t="s">
        <v>150</v>
      </c>
      <c r="Y54" t="s">
        <v>67</v>
      </c>
      <c r="AA54" t="s">
        <v>68</v>
      </c>
      <c r="AB54">
        <v>1</v>
      </c>
      <c r="AC54">
        <v>1</v>
      </c>
      <c r="AD54">
        <v>1</v>
      </c>
      <c r="AE54">
        <v>0</v>
      </c>
      <c r="AG54" t="s">
        <v>69</v>
      </c>
      <c r="AH54" t="s">
        <v>70</v>
      </c>
      <c r="AI54" t="s">
        <v>172</v>
      </c>
      <c r="AJ54">
        <v>1</v>
      </c>
      <c r="AK54">
        <v>1</v>
      </c>
      <c r="AL54">
        <v>1</v>
      </c>
      <c r="AM54">
        <v>1</v>
      </c>
      <c r="AN54">
        <v>0</v>
      </c>
      <c r="AO54">
        <v>4</v>
      </c>
      <c r="AP54" t="s">
        <v>392</v>
      </c>
      <c r="AQ54">
        <v>1</v>
      </c>
      <c r="AR54">
        <v>0</v>
      </c>
      <c r="AS54">
        <v>1</v>
      </c>
      <c r="AT54">
        <v>0</v>
      </c>
      <c r="AU54">
        <v>1</v>
      </c>
      <c r="AV54">
        <v>0</v>
      </c>
      <c r="AX54" t="s">
        <v>115</v>
      </c>
      <c r="AY54">
        <v>1</v>
      </c>
      <c r="AZ54">
        <v>1</v>
      </c>
      <c r="BA54">
        <v>1</v>
      </c>
      <c r="BB54">
        <v>1</v>
      </c>
      <c r="BC54">
        <v>1</v>
      </c>
      <c r="BD54">
        <v>1</v>
      </c>
      <c r="BE54">
        <v>1</v>
      </c>
      <c r="BF54">
        <v>1</v>
      </c>
      <c r="BG54">
        <v>0</v>
      </c>
      <c r="BJ54" t="s">
        <v>956</v>
      </c>
      <c r="BK54">
        <v>1</v>
      </c>
      <c r="BL54">
        <v>1</v>
      </c>
      <c r="BM54">
        <v>0</v>
      </c>
      <c r="BN54">
        <v>1</v>
      </c>
      <c r="BO54">
        <v>1</v>
      </c>
      <c r="BP54">
        <v>0</v>
      </c>
      <c r="BQ54">
        <v>0</v>
      </c>
      <c r="BR54">
        <v>0</v>
      </c>
      <c r="BS54">
        <v>0</v>
      </c>
      <c r="BT54">
        <v>0</v>
      </c>
      <c r="BU54">
        <v>0</v>
      </c>
      <c r="BV54">
        <v>0</v>
      </c>
      <c r="BW54">
        <v>1</v>
      </c>
      <c r="BX54">
        <v>0</v>
      </c>
      <c r="BY54">
        <v>0</v>
      </c>
      <c r="BZ54">
        <v>0</v>
      </c>
      <c r="CA54">
        <v>0</v>
      </c>
      <c r="CB54">
        <v>0</v>
      </c>
      <c r="CC54">
        <v>1</v>
      </c>
      <c r="CD54">
        <v>0</v>
      </c>
      <c r="CE54">
        <v>0</v>
      </c>
      <c r="CF54">
        <v>0</v>
      </c>
      <c r="CG54">
        <v>0</v>
      </c>
      <c r="CH54">
        <v>1</v>
      </c>
      <c r="CI54">
        <v>0</v>
      </c>
      <c r="CJ54">
        <v>0</v>
      </c>
      <c r="CK54">
        <v>1</v>
      </c>
      <c r="CL54">
        <v>1</v>
      </c>
      <c r="CM54">
        <v>0</v>
      </c>
      <c r="CO54" t="s">
        <v>94</v>
      </c>
      <c r="CP54" t="s">
        <v>957</v>
      </c>
      <c r="CQ54" t="s">
        <v>98</v>
      </c>
      <c r="CR54" t="s">
        <v>958</v>
      </c>
      <c r="CS54" t="s">
        <v>100</v>
      </c>
      <c r="CT54" t="s">
        <v>959</v>
      </c>
      <c r="CU54" t="s">
        <v>102</v>
      </c>
      <c r="CV54" t="s">
        <v>960</v>
      </c>
      <c r="CW54" t="s">
        <v>199</v>
      </c>
      <c r="CX54" t="s">
        <v>961</v>
      </c>
      <c r="CY54" t="s">
        <v>528</v>
      </c>
      <c r="CZ54" t="s">
        <v>962</v>
      </c>
      <c r="DB54" t="s">
        <v>74</v>
      </c>
      <c r="DC54" t="s">
        <v>80</v>
      </c>
      <c r="DD54">
        <v>0</v>
      </c>
      <c r="DE54">
        <v>0</v>
      </c>
      <c r="DF54">
        <v>1</v>
      </c>
      <c r="DG54">
        <v>0</v>
      </c>
      <c r="DH54">
        <v>0</v>
      </c>
      <c r="DJ54" t="s">
        <v>963</v>
      </c>
      <c r="DK54" t="s">
        <v>964</v>
      </c>
      <c r="DL54" t="s">
        <v>965</v>
      </c>
      <c r="DM54">
        <v>634186346</v>
      </c>
      <c r="DN54" t="s">
        <v>966</v>
      </c>
      <c r="DO54" s="1">
        <v>46010.681331018517</v>
      </c>
      <c r="DR54" t="s">
        <v>62</v>
      </c>
      <c r="DT54" t="s">
        <v>76</v>
      </c>
      <c r="DV54" t="s">
        <v>967</v>
      </c>
      <c r="DW54">
        <v>66</v>
      </c>
    </row>
    <row r="55" spans="1:127" x14ac:dyDescent="0.25">
      <c r="A55" s="1">
        <v>46006.336348194447</v>
      </c>
      <c r="B55" s="1">
        <v>46010.483262928239</v>
      </c>
      <c r="F55" t="s">
        <v>63</v>
      </c>
      <c r="H55" t="s">
        <v>85</v>
      </c>
      <c r="I55" s="1">
        <v>46006</v>
      </c>
      <c r="J55" t="s">
        <v>854</v>
      </c>
      <c r="K55" t="s">
        <v>968</v>
      </c>
      <c r="L55">
        <v>-2.4486699999999999</v>
      </c>
      <c r="M55">
        <v>37.968147999999999</v>
      </c>
      <c r="N55">
        <v>809.6</v>
      </c>
      <c r="O55">
        <v>12.19999980926514</v>
      </c>
      <c r="Q55" t="s">
        <v>969</v>
      </c>
      <c r="R55" t="s">
        <v>64</v>
      </c>
      <c r="S55" t="s">
        <v>77</v>
      </c>
      <c r="U55">
        <v>3</v>
      </c>
      <c r="V55">
        <v>3</v>
      </c>
      <c r="W55">
        <v>758311817</v>
      </c>
      <c r="X55" t="s">
        <v>150</v>
      </c>
      <c r="Y55" t="s">
        <v>247</v>
      </c>
      <c r="AA55" t="s">
        <v>81</v>
      </c>
      <c r="AB55">
        <v>1</v>
      </c>
      <c r="AC55">
        <v>0</v>
      </c>
      <c r="AD55">
        <v>0</v>
      </c>
      <c r="AE55">
        <v>0</v>
      </c>
      <c r="AG55" t="s">
        <v>90</v>
      </c>
      <c r="AH55" t="s">
        <v>70</v>
      </c>
      <c r="AI55" t="s">
        <v>192</v>
      </c>
      <c r="AJ55">
        <v>0</v>
      </c>
      <c r="AK55">
        <v>0</v>
      </c>
      <c r="AL55">
        <v>1</v>
      </c>
      <c r="AM55">
        <v>1</v>
      </c>
      <c r="AN55">
        <v>0</v>
      </c>
      <c r="AP55" t="s">
        <v>91</v>
      </c>
      <c r="AQ55">
        <v>1</v>
      </c>
      <c r="AR55">
        <v>0</v>
      </c>
      <c r="AS55">
        <v>1</v>
      </c>
      <c r="AT55">
        <v>0</v>
      </c>
      <c r="AU55">
        <v>0</v>
      </c>
      <c r="AV55">
        <v>0</v>
      </c>
      <c r="AX55" t="s">
        <v>599</v>
      </c>
      <c r="AY55">
        <v>1</v>
      </c>
      <c r="AZ55">
        <v>1</v>
      </c>
      <c r="BA55">
        <v>0</v>
      </c>
      <c r="BB55">
        <v>1</v>
      </c>
      <c r="BC55">
        <v>1</v>
      </c>
      <c r="BD55">
        <v>0</v>
      </c>
      <c r="BE55">
        <v>1</v>
      </c>
      <c r="BF55">
        <v>1</v>
      </c>
      <c r="BG55">
        <v>0</v>
      </c>
      <c r="BJ55" t="s">
        <v>970</v>
      </c>
      <c r="BK55">
        <v>1</v>
      </c>
      <c r="BL55">
        <v>1</v>
      </c>
      <c r="BM55">
        <v>1</v>
      </c>
      <c r="BN55">
        <v>1</v>
      </c>
      <c r="BO55">
        <v>1</v>
      </c>
      <c r="BP55">
        <v>0</v>
      </c>
      <c r="BQ55">
        <v>0</v>
      </c>
      <c r="BR55">
        <v>0</v>
      </c>
      <c r="BS55">
        <v>0</v>
      </c>
      <c r="BT55">
        <v>0</v>
      </c>
      <c r="BU55">
        <v>0</v>
      </c>
      <c r="BV55">
        <v>0</v>
      </c>
      <c r="BW55">
        <v>1</v>
      </c>
      <c r="BX55">
        <v>0</v>
      </c>
      <c r="BY55">
        <v>0</v>
      </c>
      <c r="BZ55">
        <v>0</v>
      </c>
      <c r="CA55">
        <v>0</v>
      </c>
      <c r="CB55">
        <v>0</v>
      </c>
      <c r="CC55">
        <v>1</v>
      </c>
      <c r="CD55">
        <v>0</v>
      </c>
      <c r="CE55">
        <v>0</v>
      </c>
      <c r="CF55">
        <v>0</v>
      </c>
      <c r="CG55">
        <v>1</v>
      </c>
      <c r="CH55">
        <v>0</v>
      </c>
      <c r="CI55">
        <v>0</v>
      </c>
      <c r="CJ55">
        <v>0</v>
      </c>
      <c r="CK55">
        <v>1</v>
      </c>
      <c r="CL55">
        <v>0</v>
      </c>
      <c r="CM55">
        <v>0</v>
      </c>
      <c r="CO55" t="s">
        <v>94</v>
      </c>
      <c r="CP55" t="s">
        <v>971</v>
      </c>
      <c r="CQ55" t="s">
        <v>102</v>
      </c>
      <c r="CR55" t="s">
        <v>972</v>
      </c>
      <c r="CS55" t="s">
        <v>236</v>
      </c>
      <c r="CT55" t="s">
        <v>973</v>
      </c>
      <c r="CU55" t="s">
        <v>98</v>
      </c>
      <c r="CV55" t="s">
        <v>398</v>
      </c>
      <c r="CW55" t="s">
        <v>100</v>
      </c>
      <c r="CX55" t="s">
        <v>974</v>
      </c>
      <c r="CY55" t="s">
        <v>641</v>
      </c>
      <c r="CZ55" t="s">
        <v>975</v>
      </c>
      <c r="DB55" t="s">
        <v>74</v>
      </c>
      <c r="DC55" t="s">
        <v>80</v>
      </c>
      <c r="DD55">
        <v>0</v>
      </c>
      <c r="DE55">
        <v>0</v>
      </c>
      <c r="DF55">
        <v>1</v>
      </c>
      <c r="DG55">
        <v>0</v>
      </c>
      <c r="DH55">
        <v>0</v>
      </c>
      <c r="DJ55" t="s">
        <v>976</v>
      </c>
      <c r="DK55" t="s">
        <v>977</v>
      </c>
      <c r="DL55" t="s">
        <v>978</v>
      </c>
      <c r="DM55">
        <v>634186357</v>
      </c>
      <c r="DN55" t="s">
        <v>979</v>
      </c>
      <c r="DO55" s="1">
        <v>46010.681342592587</v>
      </c>
      <c r="DR55" t="s">
        <v>62</v>
      </c>
      <c r="DT55" t="s">
        <v>76</v>
      </c>
      <c r="DV55" t="s">
        <v>980</v>
      </c>
      <c r="DW55">
        <v>67</v>
      </c>
    </row>
    <row r="56" spans="1:127" x14ac:dyDescent="0.25">
      <c r="A56" s="1">
        <v>46006.427928634257</v>
      </c>
      <c r="B56" s="1">
        <v>46010.490485729169</v>
      </c>
      <c r="F56" t="s">
        <v>63</v>
      </c>
      <c r="H56" t="s">
        <v>85</v>
      </c>
      <c r="I56" s="1">
        <v>46006</v>
      </c>
      <c r="J56" t="s">
        <v>854</v>
      </c>
      <c r="K56" t="s">
        <v>981</v>
      </c>
      <c r="L56">
        <v>-2.4484029999999999</v>
      </c>
      <c r="M56">
        <v>37.965398</v>
      </c>
      <c r="N56">
        <v>945.19999999999993</v>
      </c>
      <c r="O56">
        <v>76.900001525878906</v>
      </c>
      <c r="Q56" t="s">
        <v>982</v>
      </c>
      <c r="R56" t="s">
        <v>64</v>
      </c>
      <c r="S56" t="s">
        <v>130</v>
      </c>
      <c r="U56">
        <v>4</v>
      </c>
      <c r="V56">
        <v>2</v>
      </c>
      <c r="W56">
        <v>726955095</v>
      </c>
      <c r="X56" t="s">
        <v>983</v>
      </c>
      <c r="Y56" t="s">
        <v>67</v>
      </c>
      <c r="AA56" t="s">
        <v>984</v>
      </c>
      <c r="AB56">
        <v>1</v>
      </c>
      <c r="AC56">
        <v>1</v>
      </c>
      <c r="AD56">
        <v>0</v>
      </c>
      <c r="AE56">
        <v>1</v>
      </c>
      <c r="AF56" t="s">
        <v>341</v>
      </c>
      <c r="AG56" t="s">
        <v>90</v>
      </c>
      <c r="AH56" t="s">
        <v>70</v>
      </c>
      <c r="AI56" t="s">
        <v>284</v>
      </c>
      <c r="AJ56">
        <v>1</v>
      </c>
      <c r="AK56">
        <v>0</v>
      </c>
      <c r="AL56">
        <v>0</v>
      </c>
      <c r="AM56">
        <v>1</v>
      </c>
      <c r="AN56">
        <v>0</v>
      </c>
      <c r="AP56" t="s">
        <v>91</v>
      </c>
      <c r="AQ56">
        <v>1</v>
      </c>
      <c r="AR56">
        <v>0</v>
      </c>
      <c r="AS56">
        <v>1</v>
      </c>
      <c r="AT56">
        <v>0</v>
      </c>
      <c r="AU56">
        <v>0</v>
      </c>
      <c r="AV56">
        <v>0</v>
      </c>
      <c r="AX56" t="s">
        <v>985</v>
      </c>
      <c r="AY56">
        <v>1</v>
      </c>
      <c r="AZ56">
        <v>1</v>
      </c>
      <c r="BA56">
        <v>1</v>
      </c>
      <c r="BB56">
        <v>1</v>
      </c>
      <c r="BC56">
        <v>0</v>
      </c>
      <c r="BD56">
        <v>1</v>
      </c>
      <c r="BE56">
        <v>1</v>
      </c>
      <c r="BF56">
        <v>0</v>
      </c>
      <c r="BG56">
        <v>0</v>
      </c>
      <c r="BJ56" t="s">
        <v>931</v>
      </c>
      <c r="BK56">
        <v>1</v>
      </c>
      <c r="BL56">
        <v>1</v>
      </c>
      <c r="BM56">
        <v>1</v>
      </c>
      <c r="BN56">
        <v>1</v>
      </c>
      <c r="BO56">
        <v>1</v>
      </c>
      <c r="BP56">
        <v>0</v>
      </c>
      <c r="BQ56">
        <v>0</v>
      </c>
      <c r="BR56">
        <v>0</v>
      </c>
      <c r="BS56">
        <v>0</v>
      </c>
      <c r="BT56">
        <v>0</v>
      </c>
      <c r="BU56">
        <v>0</v>
      </c>
      <c r="BV56">
        <v>0</v>
      </c>
      <c r="BW56">
        <v>1</v>
      </c>
      <c r="BX56">
        <v>0</v>
      </c>
      <c r="BY56">
        <v>0</v>
      </c>
      <c r="BZ56">
        <v>0</v>
      </c>
      <c r="CA56">
        <v>0</v>
      </c>
      <c r="CB56">
        <v>0</v>
      </c>
      <c r="CC56">
        <v>1</v>
      </c>
      <c r="CD56">
        <v>0</v>
      </c>
      <c r="CE56">
        <v>0</v>
      </c>
      <c r="CF56">
        <v>0</v>
      </c>
      <c r="CG56">
        <v>1</v>
      </c>
      <c r="CH56">
        <v>1</v>
      </c>
      <c r="CI56">
        <v>0</v>
      </c>
      <c r="CJ56">
        <v>0</v>
      </c>
      <c r="CK56">
        <v>1</v>
      </c>
      <c r="CL56">
        <v>0</v>
      </c>
      <c r="CM56">
        <v>0</v>
      </c>
      <c r="CO56" t="s">
        <v>94</v>
      </c>
      <c r="CP56" t="s">
        <v>986</v>
      </c>
      <c r="CQ56" t="s">
        <v>102</v>
      </c>
      <c r="CR56" t="s">
        <v>987</v>
      </c>
      <c r="CS56" t="s">
        <v>98</v>
      </c>
      <c r="CT56" t="s">
        <v>988</v>
      </c>
      <c r="CU56" t="s">
        <v>236</v>
      </c>
      <c r="CV56" t="s">
        <v>989</v>
      </c>
      <c r="CW56" t="s">
        <v>921</v>
      </c>
      <c r="CX56" t="s">
        <v>990</v>
      </c>
      <c r="CY56" t="s">
        <v>991</v>
      </c>
      <c r="CZ56" t="s">
        <v>992</v>
      </c>
      <c r="DB56" t="s">
        <v>74</v>
      </c>
      <c r="DC56" t="s">
        <v>80</v>
      </c>
      <c r="DD56">
        <v>0</v>
      </c>
      <c r="DE56">
        <v>0</v>
      </c>
      <c r="DF56">
        <v>1</v>
      </c>
      <c r="DG56">
        <v>0</v>
      </c>
      <c r="DH56">
        <v>0</v>
      </c>
      <c r="DJ56" t="s">
        <v>993</v>
      </c>
      <c r="DK56" t="s">
        <v>435</v>
      </c>
      <c r="DL56" t="s">
        <v>994</v>
      </c>
      <c r="DM56">
        <v>634186364</v>
      </c>
      <c r="DN56" t="s">
        <v>995</v>
      </c>
      <c r="DO56" s="1">
        <v>46010.681342592587</v>
      </c>
      <c r="DR56" t="s">
        <v>62</v>
      </c>
      <c r="DT56" t="s">
        <v>76</v>
      </c>
      <c r="DV56" t="s">
        <v>996</v>
      </c>
      <c r="DW56">
        <v>68</v>
      </c>
    </row>
    <row r="57" spans="1:127" x14ac:dyDescent="0.25">
      <c r="A57" s="1">
        <v>46006.539917418981</v>
      </c>
      <c r="B57" s="1">
        <v>46010.498062071762</v>
      </c>
      <c r="F57" t="s">
        <v>63</v>
      </c>
      <c r="H57" t="s">
        <v>85</v>
      </c>
      <c r="I57" s="1">
        <v>46006</v>
      </c>
      <c r="J57" t="s">
        <v>899</v>
      </c>
      <c r="K57" t="s">
        <v>997</v>
      </c>
      <c r="L57">
        <v>-2.4436969999999998</v>
      </c>
      <c r="M57">
        <v>37.965741999999999</v>
      </c>
      <c r="N57">
        <v>938.8</v>
      </c>
      <c r="O57">
        <v>4.6999998092651367</v>
      </c>
      <c r="Q57" t="s">
        <v>998</v>
      </c>
      <c r="R57" t="s">
        <v>64</v>
      </c>
      <c r="S57" t="s">
        <v>190</v>
      </c>
      <c r="U57">
        <v>3</v>
      </c>
      <c r="V57">
        <v>4</v>
      </c>
      <c r="W57">
        <v>754641063</v>
      </c>
      <c r="X57" t="s">
        <v>150</v>
      </c>
      <c r="Y57" t="s">
        <v>247</v>
      </c>
      <c r="AA57" t="s">
        <v>81</v>
      </c>
      <c r="AB57">
        <v>1</v>
      </c>
      <c r="AC57">
        <v>0</v>
      </c>
      <c r="AD57">
        <v>0</v>
      </c>
      <c r="AE57">
        <v>0</v>
      </c>
      <c r="AG57" t="s">
        <v>90</v>
      </c>
      <c r="AH57" t="s">
        <v>70</v>
      </c>
      <c r="AI57" t="s">
        <v>113</v>
      </c>
      <c r="AJ57">
        <v>1</v>
      </c>
      <c r="AK57">
        <v>0</v>
      </c>
      <c r="AL57">
        <v>1</v>
      </c>
      <c r="AM57">
        <v>1</v>
      </c>
      <c r="AN57">
        <v>0</v>
      </c>
      <c r="AP57" t="s">
        <v>392</v>
      </c>
      <c r="AQ57">
        <v>1</v>
      </c>
      <c r="AR57">
        <v>0</v>
      </c>
      <c r="AS57">
        <v>1</v>
      </c>
      <c r="AT57">
        <v>0</v>
      </c>
      <c r="AU57">
        <v>1</v>
      </c>
      <c r="AV57">
        <v>0</v>
      </c>
      <c r="AX57" t="s">
        <v>917</v>
      </c>
      <c r="AY57">
        <v>1</v>
      </c>
      <c r="AZ57">
        <v>1</v>
      </c>
      <c r="BA57">
        <v>1</v>
      </c>
      <c r="BB57">
        <v>1</v>
      </c>
      <c r="BC57">
        <v>1</v>
      </c>
      <c r="BD57">
        <v>0</v>
      </c>
      <c r="BE57">
        <v>1</v>
      </c>
      <c r="BF57">
        <v>1</v>
      </c>
      <c r="BG57">
        <v>0</v>
      </c>
      <c r="BJ57" t="s">
        <v>999</v>
      </c>
      <c r="BK57">
        <v>1</v>
      </c>
      <c r="BL57">
        <v>1</v>
      </c>
      <c r="BM57">
        <v>0</v>
      </c>
      <c r="BN57">
        <v>1</v>
      </c>
      <c r="BO57">
        <v>1</v>
      </c>
      <c r="BP57">
        <v>0</v>
      </c>
      <c r="BQ57">
        <v>1</v>
      </c>
      <c r="BR57">
        <v>0</v>
      </c>
      <c r="BS57">
        <v>0</v>
      </c>
      <c r="BT57">
        <v>0</v>
      </c>
      <c r="BU57">
        <v>0</v>
      </c>
      <c r="BV57">
        <v>0</v>
      </c>
      <c r="BW57">
        <v>1</v>
      </c>
      <c r="BX57">
        <v>0</v>
      </c>
      <c r="BY57">
        <v>0</v>
      </c>
      <c r="BZ57">
        <v>0</v>
      </c>
      <c r="CA57">
        <v>0</v>
      </c>
      <c r="CB57">
        <v>0</v>
      </c>
      <c r="CC57">
        <v>1</v>
      </c>
      <c r="CD57">
        <v>0</v>
      </c>
      <c r="CE57">
        <v>0</v>
      </c>
      <c r="CF57">
        <v>0</v>
      </c>
      <c r="CG57">
        <v>1</v>
      </c>
      <c r="CH57">
        <v>1</v>
      </c>
      <c r="CI57">
        <v>0</v>
      </c>
      <c r="CJ57">
        <v>0</v>
      </c>
      <c r="CK57">
        <v>1</v>
      </c>
      <c r="CL57">
        <v>0</v>
      </c>
      <c r="CM57">
        <v>0</v>
      </c>
      <c r="CO57" t="s">
        <v>98</v>
      </c>
      <c r="CP57" t="s">
        <v>1000</v>
      </c>
      <c r="CQ57" t="s">
        <v>102</v>
      </c>
      <c r="CR57" t="s">
        <v>1001</v>
      </c>
      <c r="CS57" t="s">
        <v>94</v>
      </c>
      <c r="CT57" t="s">
        <v>1002</v>
      </c>
      <c r="CU57" t="s">
        <v>96</v>
      </c>
      <c r="CV57" t="s">
        <v>1003</v>
      </c>
      <c r="CW57" t="s">
        <v>921</v>
      </c>
      <c r="CX57" t="s">
        <v>1004</v>
      </c>
      <c r="CY57" t="s">
        <v>528</v>
      </c>
      <c r="CZ57" t="s">
        <v>1005</v>
      </c>
      <c r="DB57" t="s">
        <v>74</v>
      </c>
      <c r="DC57" t="s">
        <v>80</v>
      </c>
      <c r="DD57">
        <v>0</v>
      </c>
      <c r="DE57">
        <v>0</v>
      </c>
      <c r="DF57">
        <v>1</v>
      </c>
      <c r="DG57">
        <v>0</v>
      </c>
      <c r="DH57">
        <v>0</v>
      </c>
      <c r="DJ57" t="s">
        <v>1006</v>
      </c>
      <c r="DK57" t="s">
        <v>1007</v>
      </c>
      <c r="DL57" t="s">
        <v>1008</v>
      </c>
      <c r="DM57">
        <v>634186373</v>
      </c>
      <c r="DN57" t="s">
        <v>1009</v>
      </c>
      <c r="DO57" s="1">
        <v>46010.681354166663</v>
      </c>
      <c r="DR57" t="s">
        <v>62</v>
      </c>
      <c r="DT57" t="s">
        <v>76</v>
      </c>
      <c r="DV57" t="s">
        <v>1010</v>
      </c>
      <c r="DW57">
        <v>69</v>
      </c>
    </row>
    <row r="58" spans="1:127" x14ac:dyDescent="0.25">
      <c r="A58" s="1">
        <v>46000.746028564812</v>
      </c>
      <c r="B58" s="1">
        <v>46010.499344756943</v>
      </c>
      <c r="F58" t="s">
        <v>63</v>
      </c>
      <c r="H58" t="s">
        <v>85</v>
      </c>
      <c r="I58" s="1">
        <v>46001</v>
      </c>
      <c r="J58" t="s">
        <v>1011</v>
      </c>
      <c r="K58" t="s">
        <v>1012</v>
      </c>
      <c r="L58">
        <v>-2.4158400000000002</v>
      </c>
      <c r="M58">
        <v>38.087372999999999</v>
      </c>
      <c r="N58">
        <v>770.9</v>
      </c>
      <c r="O58">
        <v>15.89999961853027</v>
      </c>
      <c r="Q58" t="s">
        <v>1013</v>
      </c>
      <c r="R58" t="s">
        <v>20</v>
      </c>
      <c r="S58" t="s">
        <v>190</v>
      </c>
      <c r="U58">
        <v>3</v>
      </c>
      <c r="V58">
        <v>2</v>
      </c>
      <c r="X58" t="s">
        <v>150</v>
      </c>
      <c r="Y58" t="s">
        <v>247</v>
      </c>
      <c r="AA58" t="s">
        <v>211</v>
      </c>
      <c r="AB58">
        <v>1</v>
      </c>
      <c r="AC58">
        <v>1</v>
      </c>
      <c r="AD58">
        <v>0</v>
      </c>
      <c r="AE58">
        <v>0</v>
      </c>
      <c r="AG58" t="s">
        <v>90</v>
      </c>
      <c r="AH58" t="s">
        <v>70</v>
      </c>
      <c r="AI58" t="s">
        <v>284</v>
      </c>
      <c r="AJ58">
        <v>1</v>
      </c>
      <c r="AK58">
        <v>0</v>
      </c>
      <c r="AL58">
        <v>0</v>
      </c>
      <c r="AM58">
        <v>1</v>
      </c>
      <c r="AN58">
        <v>0</v>
      </c>
      <c r="AP58" t="s">
        <v>91</v>
      </c>
      <c r="AQ58">
        <v>1</v>
      </c>
      <c r="AR58">
        <v>0</v>
      </c>
      <c r="AS58">
        <v>1</v>
      </c>
      <c r="AT58">
        <v>0</v>
      </c>
      <c r="AU58">
        <v>0</v>
      </c>
      <c r="AV58">
        <v>0</v>
      </c>
      <c r="AX58" t="s">
        <v>917</v>
      </c>
      <c r="AY58">
        <v>1</v>
      </c>
      <c r="AZ58">
        <v>1</v>
      </c>
      <c r="BA58">
        <v>1</v>
      </c>
      <c r="BB58">
        <v>1</v>
      </c>
      <c r="BC58">
        <v>1</v>
      </c>
      <c r="BD58">
        <v>0</v>
      </c>
      <c r="BE58">
        <v>1</v>
      </c>
      <c r="BF58">
        <v>1</v>
      </c>
      <c r="BG58">
        <v>0</v>
      </c>
      <c r="BJ58" t="s">
        <v>1014</v>
      </c>
      <c r="BK58">
        <v>1</v>
      </c>
      <c r="BL58">
        <v>1</v>
      </c>
      <c r="BM58">
        <v>0</v>
      </c>
      <c r="BN58">
        <v>1</v>
      </c>
      <c r="BO58">
        <v>1</v>
      </c>
      <c r="BP58">
        <v>0</v>
      </c>
      <c r="BQ58">
        <v>1</v>
      </c>
      <c r="BR58">
        <v>1</v>
      </c>
      <c r="BS58">
        <v>0</v>
      </c>
      <c r="BT58">
        <v>0</v>
      </c>
      <c r="BU58">
        <v>0</v>
      </c>
      <c r="BV58">
        <v>0</v>
      </c>
      <c r="BW58">
        <v>1</v>
      </c>
      <c r="BX58">
        <v>0</v>
      </c>
      <c r="BY58">
        <v>0</v>
      </c>
      <c r="BZ58">
        <v>0</v>
      </c>
      <c r="CA58">
        <v>0</v>
      </c>
      <c r="CB58">
        <v>0</v>
      </c>
      <c r="CC58">
        <v>0</v>
      </c>
      <c r="CD58">
        <v>1</v>
      </c>
      <c r="CE58">
        <v>0</v>
      </c>
      <c r="CF58">
        <v>0</v>
      </c>
      <c r="CG58">
        <v>1</v>
      </c>
      <c r="CH58">
        <v>1</v>
      </c>
      <c r="CI58">
        <v>0</v>
      </c>
      <c r="CJ58">
        <v>0</v>
      </c>
      <c r="CK58">
        <v>0</v>
      </c>
      <c r="CL58">
        <v>0</v>
      </c>
      <c r="CM58">
        <v>0</v>
      </c>
      <c r="CO58" t="s">
        <v>94</v>
      </c>
      <c r="CP58" t="s">
        <v>1015</v>
      </c>
      <c r="CQ58" t="s">
        <v>102</v>
      </c>
      <c r="CR58" t="s">
        <v>1016</v>
      </c>
      <c r="CS58" t="s">
        <v>96</v>
      </c>
      <c r="CT58" t="s">
        <v>1017</v>
      </c>
      <c r="CU58" t="s">
        <v>138</v>
      </c>
      <c r="CV58" t="s">
        <v>1018</v>
      </c>
      <c r="CW58" t="s">
        <v>749</v>
      </c>
      <c r="CX58" t="s">
        <v>1019</v>
      </c>
      <c r="CY58" t="s">
        <v>528</v>
      </c>
      <c r="CZ58" t="s">
        <v>962</v>
      </c>
      <c r="DB58" t="s">
        <v>74</v>
      </c>
      <c r="DC58" t="s">
        <v>80</v>
      </c>
      <c r="DD58">
        <v>0</v>
      </c>
      <c r="DE58">
        <v>0</v>
      </c>
      <c r="DF58">
        <v>1</v>
      </c>
      <c r="DG58">
        <v>0</v>
      </c>
      <c r="DH58">
        <v>0</v>
      </c>
      <c r="DJ58" t="s">
        <v>1020</v>
      </c>
      <c r="DK58" t="s">
        <v>1021</v>
      </c>
      <c r="DL58" t="s">
        <v>1022</v>
      </c>
      <c r="DM58">
        <v>634186402</v>
      </c>
      <c r="DN58" t="s">
        <v>1023</v>
      </c>
      <c r="DO58" s="1">
        <v>46010.681377314817</v>
      </c>
      <c r="DR58" t="s">
        <v>62</v>
      </c>
      <c r="DT58" t="s">
        <v>76</v>
      </c>
      <c r="DV58" t="s">
        <v>1024</v>
      </c>
      <c r="DW58">
        <v>70</v>
      </c>
    </row>
    <row r="59" spans="1:127" x14ac:dyDescent="0.25">
      <c r="A59" s="1">
        <v>46007.673596666667</v>
      </c>
      <c r="B59" s="1">
        <v>46010.508746296298</v>
      </c>
      <c r="F59" t="s">
        <v>63</v>
      </c>
      <c r="H59" t="s">
        <v>85</v>
      </c>
      <c r="I59" s="1">
        <v>46008</v>
      </c>
      <c r="J59" t="s">
        <v>899</v>
      </c>
      <c r="K59" t="s">
        <v>1025</v>
      </c>
      <c r="L59">
        <v>-2.4468969999999999</v>
      </c>
      <c r="M59">
        <v>37.967512999999997</v>
      </c>
      <c r="N59">
        <v>951.3</v>
      </c>
      <c r="O59">
        <v>9.3999996185302734</v>
      </c>
      <c r="Q59" t="s">
        <v>1026</v>
      </c>
      <c r="R59" t="s">
        <v>64</v>
      </c>
      <c r="S59" t="s">
        <v>77</v>
      </c>
      <c r="U59">
        <v>3</v>
      </c>
      <c r="V59">
        <v>2</v>
      </c>
      <c r="W59">
        <v>7079458982</v>
      </c>
      <c r="X59" t="s">
        <v>282</v>
      </c>
      <c r="Y59" t="s">
        <v>67</v>
      </c>
      <c r="AA59" t="s">
        <v>211</v>
      </c>
      <c r="AB59">
        <v>1</v>
      </c>
      <c r="AC59">
        <v>1</v>
      </c>
      <c r="AD59">
        <v>0</v>
      </c>
      <c r="AE59">
        <v>0</v>
      </c>
      <c r="AG59" t="s">
        <v>90</v>
      </c>
      <c r="AH59" t="s">
        <v>70</v>
      </c>
      <c r="AI59" t="s">
        <v>284</v>
      </c>
      <c r="AJ59">
        <v>1</v>
      </c>
      <c r="AK59">
        <v>0</v>
      </c>
      <c r="AL59">
        <v>0</v>
      </c>
      <c r="AM59">
        <v>1</v>
      </c>
      <c r="AN59">
        <v>0</v>
      </c>
      <c r="AP59" t="s">
        <v>91</v>
      </c>
      <c r="AQ59">
        <v>1</v>
      </c>
      <c r="AR59">
        <v>0</v>
      </c>
      <c r="AS59">
        <v>1</v>
      </c>
      <c r="AT59">
        <v>0</v>
      </c>
      <c r="AU59">
        <v>0</v>
      </c>
      <c r="AV59">
        <v>0</v>
      </c>
      <c r="AX59" t="s">
        <v>73</v>
      </c>
      <c r="AY59">
        <v>1</v>
      </c>
      <c r="AZ59">
        <v>1</v>
      </c>
      <c r="BA59">
        <v>0</v>
      </c>
      <c r="BB59">
        <v>1</v>
      </c>
      <c r="BC59">
        <v>1</v>
      </c>
      <c r="BD59">
        <v>1</v>
      </c>
      <c r="BE59">
        <v>0</v>
      </c>
      <c r="BF59">
        <v>1</v>
      </c>
      <c r="BG59">
        <v>0</v>
      </c>
      <c r="BJ59" t="s">
        <v>1027</v>
      </c>
      <c r="BK59">
        <v>1</v>
      </c>
      <c r="BL59">
        <v>1</v>
      </c>
      <c r="BM59">
        <v>1</v>
      </c>
      <c r="BN59">
        <v>1</v>
      </c>
      <c r="BO59">
        <v>1</v>
      </c>
      <c r="BP59">
        <v>0</v>
      </c>
      <c r="BQ59">
        <v>1</v>
      </c>
      <c r="BR59">
        <v>0</v>
      </c>
      <c r="BS59">
        <v>0</v>
      </c>
      <c r="BT59">
        <v>0</v>
      </c>
      <c r="BU59">
        <v>0</v>
      </c>
      <c r="BV59">
        <v>0</v>
      </c>
      <c r="BW59">
        <v>1</v>
      </c>
      <c r="BX59">
        <v>0</v>
      </c>
      <c r="BY59">
        <v>0</v>
      </c>
      <c r="BZ59">
        <v>0</v>
      </c>
      <c r="CA59">
        <v>0</v>
      </c>
      <c r="CB59">
        <v>0</v>
      </c>
      <c r="CC59">
        <v>1</v>
      </c>
      <c r="CD59">
        <v>0</v>
      </c>
      <c r="CE59">
        <v>0</v>
      </c>
      <c r="CF59">
        <v>0</v>
      </c>
      <c r="CG59">
        <v>1</v>
      </c>
      <c r="CH59">
        <v>0</v>
      </c>
      <c r="CI59">
        <v>0</v>
      </c>
      <c r="CJ59">
        <v>0</v>
      </c>
      <c r="CK59">
        <v>1</v>
      </c>
      <c r="CL59">
        <v>0</v>
      </c>
      <c r="CM59">
        <v>0</v>
      </c>
      <c r="CO59" t="s">
        <v>98</v>
      </c>
      <c r="CP59" t="s">
        <v>1028</v>
      </c>
      <c r="CQ59" t="s">
        <v>921</v>
      </c>
      <c r="CR59" t="s">
        <v>1029</v>
      </c>
      <c r="CS59" t="s">
        <v>94</v>
      </c>
      <c r="CT59" t="s">
        <v>1030</v>
      </c>
      <c r="CU59" t="s">
        <v>102</v>
      </c>
      <c r="CV59" t="s">
        <v>1031</v>
      </c>
      <c r="CW59" t="s">
        <v>236</v>
      </c>
      <c r="CX59" t="s">
        <v>1032</v>
      </c>
      <c r="CY59" t="s">
        <v>528</v>
      </c>
      <c r="CZ59" t="s">
        <v>1033</v>
      </c>
      <c r="DB59" t="s">
        <v>74</v>
      </c>
      <c r="DC59" t="s">
        <v>80</v>
      </c>
      <c r="DD59">
        <v>0</v>
      </c>
      <c r="DE59">
        <v>0</v>
      </c>
      <c r="DF59">
        <v>1</v>
      </c>
      <c r="DG59">
        <v>0</v>
      </c>
      <c r="DH59">
        <v>0</v>
      </c>
      <c r="DJ59" t="s">
        <v>1034</v>
      </c>
      <c r="DK59" t="s">
        <v>1035</v>
      </c>
      <c r="DL59" t="s">
        <v>1036</v>
      </c>
      <c r="DM59">
        <v>634186419</v>
      </c>
      <c r="DN59" t="s">
        <v>1037</v>
      </c>
      <c r="DO59" s="1">
        <v>46010.681377314817</v>
      </c>
      <c r="DR59" t="s">
        <v>62</v>
      </c>
      <c r="DT59" t="s">
        <v>76</v>
      </c>
      <c r="DV59" t="s">
        <v>1038</v>
      </c>
      <c r="DW59">
        <v>71</v>
      </c>
    </row>
    <row r="60" spans="1:127" x14ac:dyDescent="0.25">
      <c r="A60" s="1">
        <v>46008.384999166658</v>
      </c>
      <c r="B60" s="1">
        <v>46010.522047847233</v>
      </c>
      <c r="F60" t="s">
        <v>63</v>
      </c>
      <c r="H60" t="s">
        <v>85</v>
      </c>
      <c r="I60" s="1">
        <v>46008</v>
      </c>
      <c r="J60" t="s">
        <v>899</v>
      </c>
      <c r="K60" t="s">
        <v>1039</v>
      </c>
      <c r="L60">
        <v>-2.4486219999999999</v>
      </c>
      <c r="M60">
        <v>37.969143000000003</v>
      </c>
      <c r="N60">
        <v>931.9</v>
      </c>
      <c r="O60">
        <v>6</v>
      </c>
      <c r="Q60" t="s">
        <v>1040</v>
      </c>
      <c r="R60" t="s">
        <v>64</v>
      </c>
      <c r="S60" t="s">
        <v>317</v>
      </c>
      <c r="U60">
        <v>2</v>
      </c>
      <c r="V60">
        <v>3</v>
      </c>
      <c r="W60">
        <v>746256693</v>
      </c>
      <c r="X60" t="s">
        <v>1041</v>
      </c>
      <c r="Y60" t="s">
        <v>67</v>
      </c>
      <c r="AA60" t="s">
        <v>211</v>
      </c>
      <c r="AB60">
        <v>1</v>
      </c>
      <c r="AC60">
        <v>1</v>
      </c>
      <c r="AD60">
        <v>0</v>
      </c>
      <c r="AE60">
        <v>0</v>
      </c>
      <c r="AG60" t="s">
        <v>90</v>
      </c>
      <c r="AH60" t="s">
        <v>70</v>
      </c>
      <c r="AI60" t="s">
        <v>113</v>
      </c>
      <c r="AJ60">
        <v>1</v>
      </c>
      <c r="AK60">
        <v>0</v>
      </c>
      <c r="AL60">
        <v>1</v>
      </c>
      <c r="AM60">
        <v>1</v>
      </c>
      <c r="AN60">
        <v>0</v>
      </c>
      <c r="AP60" t="s">
        <v>91</v>
      </c>
      <c r="AQ60">
        <v>1</v>
      </c>
      <c r="AR60">
        <v>0</v>
      </c>
      <c r="AS60">
        <v>1</v>
      </c>
      <c r="AT60">
        <v>0</v>
      </c>
      <c r="AU60">
        <v>0</v>
      </c>
      <c r="AV60">
        <v>0</v>
      </c>
      <c r="AX60" t="s">
        <v>917</v>
      </c>
      <c r="AY60">
        <v>1</v>
      </c>
      <c r="AZ60">
        <v>1</v>
      </c>
      <c r="BA60">
        <v>1</v>
      </c>
      <c r="BB60">
        <v>1</v>
      </c>
      <c r="BC60">
        <v>1</v>
      </c>
      <c r="BD60">
        <v>0</v>
      </c>
      <c r="BE60">
        <v>1</v>
      </c>
      <c r="BF60">
        <v>1</v>
      </c>
      <c r="BG60">
        <v>0</v>
      </c>
      <c r="BJ60" t="s">
        <v>1042</v>
      </c>
      <c r="BK60">
        <v>1</v>
      </c>
      <c r="BL60">
        <v>1</v>
      </c>
      <c r="BM60">
        <v>0</v>
      </c>
      <c r="BN60">
        <v>1</v>
      </c>
      <c r="BO60">
        <v>1</v>
      </c>
      <c r="BP60">
        <v>0</v>
      </c>
      <c r="BQ60">
        <v>1</v>
      </c>
      <c r="BR60">
        <v>0</v>
      </c>
      <c r="BS60">
        <v>0</v>
      </c>
      <c r="BT60">
        <v>0</v>
      </c>
      <c r="BU60">
        <v>0</v>
      </c>
      <c r="BV60">
        <v>0</v>
      </c>
      <c r="BW60">
        <v>1</v>
      </c>
      <c r="BX60">
        <v>0</v>
      </c>
      <c r="BY60">
        <v>0</v>
      </c>
      <c r="BZ60">
        <v>0</v>
      </c>
      <c r="CA60">
        <v>0</v>
      </c>
      <c r="CB60">
        <v>0</v>
      </c>
      <c r="CC60">
        <v>1</v>
      </c>
      <c r="CD60">
        <v>0</v>
      </c>
      <c r="CE60">
        <v>0</v>
      </c>
      <c r="CF60">
        <v>0</v>
      </c>
      <c r="CG60">
        <v>1</v>
      </c>
      <c r="CH60">
        <v>0</v>
      </c>
      <c r="CI60">
        <v>0</v>
      </c>
      <c r="CJ60">
        <v>0</v>
      </c>
      <c r="CK60">
        <v>1</v>
      </c>
      <c r="CL60">
        <v>1</v>
      </c>
      <c r="CM60">
        <v>0</v>
      </c>
      <c r="CO60" t="s">
        <v>98</v>
      </c>
      <c r="CP60" t="s">
        <v>1043</v>
      </c>
      <c r="CQ60" t="s">
        <v>102</v>
      </c>
      <c r="CR60" t="s">
        <v>1044</v>
      </c>
      <c r="CS60" t="s">
        <v>96</v>
      </c>
      <c r="CT60" t="s">
        <v>1045</v>
      </c>
      <c r="CU60" t="s">
        <v>94</v>
      </c>
      <c r="CV60" t="s">
        <v>1046</v>
      </c>
      <c r="CW60" t="s">
        <v>236</v>
      </c>
      <c r="CX60" t="s">
        <v>1047</v>
      </c>
      <c r="CY60" t="s">
        <v>528</v>
      </c>
      <c r="CZ60" t="s">
        <v>1048</v>
      </c>
      <c r="DB60" t="s">
        <v>74</v>
      </c>
      <c r="DC60" t="s">
        <v>80</v>
      </c>
      <c r="DD60">
        <v>0</v>
      </c>
      <c r="DE60">
        <v>0</v>
      </c>
      <c r="DF60">
        <v>1</v>
      </c>
      <c r="DG60">
        <v>0</v>
      </c>
      <c r="DH60">
        <v>0</v>
      </c>
      <c r="DJ60" t="s">
        <v>1049</v>
      </c>
      <c r="DK60" t="s">
        <v>1050</v>
      </c>
      <c r="DL60" t="s">
        <v>1051</v>
      </c>
      <c r="DM60">
        <v>634186435</v>
      </c>
      <c r="DN60" t="s">
        <v>1052</v>
      </c>
      <c r="DO60" s="1">
        <v>46010.681388888886</v>
      </c>
      <c r="DR60" t="s">
        <v>62</v>
      </c>
      <c r="DT60" t="s">
        <v>76</v>
      </c>
      <c r="DV60" t="s">
        <v>1053</v>
      </c>
      <c r="DW60">
        <v>72</v>
      </c>
    </row>
    <row r="61" spans="1:127" x14ac:dyDescent="0.25">
      <c r="A61" s="1">
        <v>46008.370457662037</v>
      </c>
      <c r="B61" s="1">
        <v>46010.530036400472</v>
      </c>
      <c r="F61" t="s">
        <v>63</v>
      </c>
      <c r="H61" t="s">
        <v>85</v>
      </c>
      <c r="I61" s="1">
        <v>46008</v>
      </c>
      <c r="J61" t="s">
        <v>899</v>
      </c>
      <c r="K61" t="s">
        <v>1054</v>
      </c>
      <c r="L61">
        <v>-2.4476779999999998</v>
      </c>
      <c r="M61">
        <v>37.969633000000002</v>
      </c>
      <c r="N61">
        <v>908.69999999999993</v>
      </c>
      <c r="O61">
        <v>5.4000000953674316</v>
      </c>
      <c r="Q61" t="s">
        <v>1055</v>
      </c>
      <c r="R61" t="s">
        <v>64</v>
      </c>
      <c r="S61" t="s">
        <v>190</v>
      </c>
      <c r="U61">
        <v>3</v>
      </c>
      <c r="V61">
        <v>2</v>
      </c>
      <c r="W61">
        <v>723913805</v>
      </c>
      <c r="X61" t="s">
        <v>150</v>
      </c>
      <c r="Y61" t="s">
        <v>67</v>
      </c>
      <c r="AA61" t="s">
        <v>211</v>
      </c>
      <c r="AB61">
        <v>1</v>
      </c>
      <c r="AC61">
        <v>1</v>
      </c>
      <c r="AD61">
        <v>0</v>
      </c>
      <c r="AE61">
        <v>0</v>
      </c>
      <c r="AG61" t="s">
        <v>90</v>
      </c>
      <c r="AH61" t="s">
        <v>70</v>
      </c>
      <c r="AI61" t="s">
        <v>113</v>
      </c>
      <c r="AJ61">
        <v>1</v>
      </c>
      <c r="AK61">
        <v>0</v>
      </c>
      <c r="AL61">
        <v>1</v>
      </c>
      <c r="AM61">
        <v>1</v>
      </c>
      <c r="AN61">
        <v>0</v>
      </c>
      <c r="AP61" t="s">
        <v>392</v>
      </c>
      <c r="AQ61">
        <v>1</v>
      </c>
      <c r="AR61">
        <v>0</v>
      </c>
      <c r="AS61">
        <v>1</v>
      </c>
      <c r="AT61">
        <v>0</v>
      </c>
      <c r="AU61">
        <v>1</v>
      </c>
      <c r="AV61">
        <v>0</v>
      </c>
      <c r="AX61" t="s">
        <v>917</v>
      </c>
      <c r="AY61">
        <v>1</v>
      </c>
      <c r="AZ61">
        <v>1</v>
      </c>
      <c r="BA61">
        <v>1</v>
      </c>
      <c r="BB61">
        <v>1</v>
      </c>
      <c r="BC61">
        <v>1</v>
      </c>
      <c r="BD61">
        <v>0</v>
      </c>
      <c r="BE61">
        <v>1</v>
      </c>
      <c r="BF61">
        <v>1</v>
      </c>
      <c r="BG61">
        <v>0</v>
      </c>
      <c r="BJ61" t="s">
        <v>931</v>
      </c>
      <c r="BK61">
        <v>1</v>
      </c>
      <c r="BL61">
        <v>1</v>
      </c>
      <c r="BM61">
        <v>1</v>
      </c>
      <c r="BN61">
        <v>1</v>
      </c>
      <c r="BO61">
        <v>1</v>
      </c>
      <c r="BP61">
        <v>0</v>
      </c>
      <c r="BQ61">
        <v>0</v>
      </c>
      <c r="BR61">
        <v>0</v>
      </c>
      <c r="BS61">
        <v>0</v>
      </c>
      <c r="BT61">
        <v>0</v>
      </c>
      <c r="BU61">
        <v>0</v>
      </c>
      <c r="BV61">
        <v>0</v>
      </c>
      <c r="BW61">
        <v>1</v>
      </c>
      <c r="BX61">
        <v>0</v>
      </c>
      <c r="BY61">
        <v>0</v>
      </c>
      <c r="BZ61">
        <v>0</v>
      </c>
      <c r="CA61">
        <v>0</v>
      </c>
      <c r="CB61">
        <v>0</v>
      </c>
      <c r="CC61">
        <v>1</v>
      </c>
      <c r="CD61">
        <v>0</v>
      </c>
      <c r="CE61">
        <v>0</v>
      </c>
      <c r="CF61">
        <v>0</v>
      </c>
      <c r="CG61">
        <v>1</v>
      </c>
      <c r="CH61">
        <v>1</v>
      </c>
      <c r="CI61">
        <v>0</v>
      </c>
      <c r="CJ61">
        <v>0</v>
      </c>
      <c r="CK61">
        <v>1</v>
      </c>
      <c r="CL61">
        <v>0</v>
      </c>
      <c r="CM61">
        <v>0</v>
      </c>
      <c r="CO61" t="s">
        <v>94</v>
      </c>
      <c r="CP61" t="s">
        <v>1056</v>
      </c>
      <c r="CQ61" t="s">
        <v>98</v>
      </c>
      <c r="CR61" t="s">
        <v>1057</v>
      </c>
      <c r="CS61" t="s">
        <v>921</v>
      </c>
      <c r="CT61" t="s">
        <v>1058</v>
      </c>
      <c r="CU61" t="s">
        <v>1059</v>
      </c>
      <c r="CV61" t="s">
        <v>1060</v>
      </c>
      <c r="CW61" t="s">
        <v>102</v>
      </c>
      <c r="CX61" t="s">
        <v>1061</v>
      </c>
      <c r="CY61" t="s">
        <v>1062</v>
      </c>
      <c r="CZ61" t="s">
        <v>1048</v>
      </c>
      <c r="DB61" t="s">
        <v>74</v>
      </c>
      <c r="DC61" t="s">
        <v>80</v>
      </c>
      <c r="DD61">
        <v>0</v>
      </c>
      <c r="DE61">
        <v>0</v>
      </c>
      <c r="DF61">
        <v>1</v>
      </c>
      <c r="DG61">
        <v>0</v>
      </c>
      <c r="DH61">
        <v>0</v>
      </c>
      <c r="DJ61" t="s">
        <v>1063</v>
      </c>
      <c r="DK61" t="s">
        <v>1064</v>
      </c>
      <c r="DL61" t="s">
        <v>1065</v>
      </c>
      <c r="DM61">
        <v>634186445</v>
      </c>
      <c r="DN61" t="s">
        <v>1066</v>
      </c>
      <c r="DO61" s="1">
        <v>46010.681400462963</v>
      </c>
      <c r="DR61" t="s">
        <v>62</v>
      </c>
      <c r="DT61" t="s">
        <v>76</v>
      </c>
      <c r="DV61" t="s">
        <v>1067</v>
      </c>
      <c r="DW61">
        <v>73</v>
      </c>
    </row>
    <row r="62" spans="1:127" x14ac:dyDescent="0.25">
      <c r="A62" s="1">
        <v>46008.412241863429</v>
      </c>
      <c r="B62" s="1">
        <v>46010.536993530091</v>
      </c>
      <c r="F62" t="s">
        <v>63</v>
      </c>
      <c r="H62" t="s">
        <v>85</v>
      </c>
      <c r="I62" s="1">
        <v>46008</v>
      </c>
      <c r="J62" t="s">
        <v>1068</v>
      </c>
      <c r="K62" t="s">
        <v>1069</v>
      </c>
      <c r="L62">
        <v>-2.4482020000000002</v>
      </c>
      <c r="M62">
        <v>37.969214999999998</v>
      </c>
      <c r="N62">
        <v>940</v>
      </c>
      <c r="O62">
        <v>5</v>
      </c>
      <c r="Q62" t="s">
        <v>1070</v>
      </c>
      <c r="R62" t="s">
        <v>20</v>
      </c>
      <c r="S62" t="s">
        <v>228</v>
      </c>
      <c r="U62">
        <v>1</v>
      </c>
      <c r="V62">
        <v>4</v>
      </c>
      <c r="W62">
        <v>117634006</v>
      </c>
      <c r="X62" t="s">
        <v>150</v>
      </c>
      <c r="Y62" t="s">
        <v>78</v>
      </c>
      <c r="AA62" t="s">
        <v>68</v>
      </c>
      <c r="AB62">
        <v>1</v>
      </c>
      <c r="AC62">
        <v>1</v>
      </c>
      <c r="AD62">
        <v>1</v>
      </c>
      <c r="AE62">
        <v>0</v>
      </c>
      <c r="AG62" t="s">
        <v>90</v>
      </c>
      <c r="AH62" t="s">
        <v>70</v>
      </c>
      <c r="AI62" t="s">
        <v>284</v>
      </c>
      <c r="AJ62">
        <v>1</v>
      </c>
      <c r="AK62">
        <v>0</v>
      </c>
      <c r="AL62">
        <v>0</v>
      </c>
      <c r="AM62">
        <v>1</v>
      </c>
      <c r="AN62">
        <v>0</v>
      </c>
      <c r="AP62" t="s">
        <v>91</v>
      </c>
      <c r="AQ62">
        <v>1</v>
      </c>
      <c r="AR62">
        <v>0</v>
      </c>
      <c r="AS62">
        <v>1</v>
      </c>
      <c r="AT62">
        <v>0</v>
      </c>
      <c r="AU62">
        <v>0</v>
      </c>
      <c r="AV62">
        <v>0</v>
      </c>
      <c r="AX62" t="s">
        <v>1071</v>
      </c>
      <c r="AY62">
        <v>1</v>
      </c>
      <c r="AZ62">
        <v>1</v>
      </c>
      <c r="BA62">
        <v>1</v>
      </c>
      <c r="BB62">
        <v>1</v>
      </c>
      <c r="BC62">
        <v>1</v>
      </c>
      <c r="BD62">
        <v>1</v>
      </c>
      <c r="BE62">
        <v>0</v>
      </c>
      <c r="BF62">
        <v>1</v>
      </c>
      <c r="BG62">
        <v>0</v>
      </c>
      <c r="BJ62" t="s">
        <v>931</v>
      </c>
      <c r="BK62">
        <v>1</v>
      </c>
      <c r="BL62">
        <v>1</v>
      </c>
      <c r="BM62">
        <v>1</v>
      </c>
      <c r="BN62">
        <v>1</v>
      </c>
      <c r="BO62">
        <v>1</v>
      </c>
      <c r="BP62">
        <v>0</v>
      </c>
      <c r="BQ62">
        <v>0</v>
      </c>
      <c r="BR62">
        <v>0</v>
      </c>
      <c r="BS62">
        <v>0</v>
      </c>
      <c r="BT62">
        <v>0</v>
      </c>
      <c r="BU62">
        <v>0</v>
      </c>
      <c r="BV62">
        <v>0</v>
      </c>
      <c r="BW62">
        <v>1</v>
      </c>
      <c r="BX62">
        <v>0</v>
      </c>
      <c r="BY62">
        <v>0</v>
      </c>
      <c r="BZ62">
        <v>0</v>
      </c>
      <c r="CA62">
        <v>0</v>
      </c>
      <c r="CB62">
        <v>0</v>
      </c>
      <c r="CC62">
        <v>1</v>
      </c>
      <c r="CD62">
        <v>0</v>
      </c>
      <c r="CE62">
        <v>0</v>
      </c>
      <c r="CF62">
        <v>0</v>
      </c>
      <c r="CG62">
        <v>1</v>
      </c>
      <c r="CH62">
        <v>1</v>
      </c>
      <c r="CI62">
        <v>0</v>
      </c>
      <c r="CJ62">
        <v>0</v>
      </c>
      <c r="CK62">
        <v>1</v>
      </c>
      <c r="CL62">
        <v>0</v>
      </c>
      <c r="CM62">
        <v>0</v>
      </c>
      <c r="CO62" t="s">
        <v>102</v>
      </c>
      <c r="CP62" t="s">
        <v>1072</v>
      </c>
      <c r="CQ62" t="s">
        <v>94</v>
      </c>
      <c r="CR62" t="s">
        <v>1073</v>
      </c>
      <c r="CS62" t="s">
        <v>98</v>
      </c>
      <c r="CT62" t="s">
        <v>1074</v>
      </c>
      <c r="CU62" t="s">
        <v>253</v>
      </c>
      <c r="CV62" t="s">
        <v>1075</v>
      </c>
      <c r="CW62" t="s">
        <v>236</v>
      </c>
      <c r="CX62" t="s">
        <v>1076</v>
      </c>
      <c r="CY62" t="s">
        <v>1077</v>
      </c>
      <c r="CZ62" t="s">
        <v>1078</v>
      </c>
      <c r="DB62" t="s">
        <v>74</v>
      </c>
      <c r="DC62" t="s">
        <v>80</v>
      </c>
      <c r="DD62">
        <v>0</v>
      </c>
      <c r="DE62">
        <v>0</v>
      </c>
      <c r="DF62">
        <v>1</v>
      </c>
      <c r="DG62">
        <v>0</v>
      </c>
      <c r="DH62">
        <v>0</v>
      </c>
      <c r="DJ62" t="s">
        <v>1079</v>
      </c>
      <c r="DK62" t="s">
        <v>1080</v>
      </c>
      <c r="DL62" t="s">
        <v>1081</v>
      </c>
      <c r="DM62">
        <v>634186459</v>
      </c>
      <c r="DN62" t="s">
        <v>1082</v>
      </c>
      <c r="DO62" s="1">
        <v>46010.68141203704</v>
      </c>
      <c r="DR62" t="s">
        <v>62</v>
      </c>
      <c r="DT62" t="s">
        <v>76</v>
      </c>
      <c r="DV62" t="s">
        <v>1083</v>
      </c>
      <c r="DW62">
        <v>74</v>
      </c>
    </row>
    <row r="63" spans="1:127" x14ac:dyDescent="0.25">
      <c r="A63" s="1">
        <v>46008.433052488428</v>
      </c>
      <c r="B63" s="1">
        <v>46010.546185833336</v>
      </c>
      <c r="F63" t="s">
        <v>63</v>
      </c>
      <c r="H63" t="s">
        <v>85</v>
      </c>
      <c r="I63" s="1">
        <v>46008</v>
      </c>
      <c r="J63" t="s">
        <v>1068</v>
      </c>
      <c r="K63" t="s">
        <v>1084</v>
      </c>
      <c r="L63">
        <v>-2.4508260000000002</v>
      </c>
      <c r="M63">
        <v>37.971040000000002</v>
      </c>
      <c r="N63">
        <v>972.19999999999993</v>
      </c>
      <c r="O63">
        <v>78.900001525878906</v>
      </c>
      <c r="Q63" t="s">
        <v>1085</v>
      </c>
      <c r="R63" t="s">
        <v>20</v>
      </c>
      <c r="S63" t="s">
        <v>228</v>
      </c>
      <c r="U63">
        <v>2</v>
      </c>
      <c r="V63">
        <v>5</v>
      </c>
      <c r="W63">
        <v>745603383</v>
      </c>
      <c r="X63" t="s">
        <v>150</v>
      </c>
      <c r="Y63" t="s">
        <v>247</v>
      </c>
      <c r="AA63" t="s">
        <v>211</v>
      </c>
      <c r="AB63">
        <v>1</v>
      </c>
      <c r="AC63">
        <v>1</v>
      </c>
      <c r="AD63">
        <v>0</v>
      </c>
      <c r="AE63">
        <v>0</v>
      </c>
      <c r="AG63" t="s">
        <v>90</v>
      </c>
      <c r="AH63" t="s">
        <v>70</v>
      </c>
      <c r="AI63" t="s">
        <v>79</v>
      </c>
      <c r="AJ63">
        <v>0</v>
      </c>
      <c r="AK63">
        <v>0</v>
      </c>
      <c r="AL63">
        <v>0</v>
      </c>
      <c r="AM63">
        <v>1</v>
      </c>
      <c r="AN63">
        <v>0</v>
      </c>
      <c r="AP63" t="s">
        <v>91</v>
      </c>
      <c r="AQ63">
        <v>1</v>
      </c>
      <c r="AR63">
        <v>0</v>
      </c>
      <c r="AS63">
        <v>1</v>
      </c>
      <c r="AT63">
        <v>0</v>
      </c>
      <c r="AU63">
        <v>0</v>
      </c>
      <c r="AV63">
        <v>0</v>
      </c>
      <c r="AX63" t="s">
        <v>73</v>
      </c>
      <c r="AY63">
        <v>1</v>
      </c>
      <c r="AZ63">
        <v>1</v>
      </c>
      <c r="BA63">
        <v>0</v>
      </c>
      <c r="BB63">
        <v>1</v>
      </c>
      <c r="BC63">
        <v>1</v>
      </c>
      <c r="BD63">
        <v>1</v>
      </c>
      <c r="BE63">
        <v>0</v>
      </c>
      <c r="BF63">
        <v>1</v>
      </c>
      <c r="BG63">
        <v>0</v>
      </c>
      <c r="BJ63" t="s">
        <v>931</v>
      </c>
      <c r="BK63">
        <v>1</v>
      </c>
      <c r="BL63">
        <v>1</v>
      </c>
      <c r="BM63">
        <v>1</v>
      </c>
      <c r="BN63">
        <v>1</v>
      </c>
      <c r="BO63">
        <v>1</v>
      </c>
      <c r="BP63">
        <v>0</v>
      </c>
      <c r="BQ63">
        <v>0</v>
      </c>
      <c r="BR63">
        <v>0</v>
      </c>
      <c r="BS63">
        <v>0</v>
      </c>
      <c r="BT63">
        <v>0</v>
      </c>
      <c r="BU63">
        <v>0</v>
      </c>
      <c r="BV63">
        <v>0</v>
      </c>
      <c r="BW63">
        <v>1</v>
      </c>
      <c r="BX63">
        <v>0</v>
      </c>
      <c r="BY63">
        <v>0</v>
      </c>
      <c r="BZ63">
        <v>0</v>
      </c>
      <c r="CA63">
        <v>0</v>
      </c>
      <c r="CB63">
        <v>0</v>
      </c>
      <c r="CC63">
        <v>1</v>
      </c>
      <c r="CD63">
        <v>0</v>
      </c>
      <c r="CE63">
        <v>0</v>
      </c>
      <c r="CF63">
        <v>0</v>
      </c>
      <c r="CG63">
        <v>1</v>
      </c>
      <c r="CH63">
        <v>1</v>
      </c>
      <c r="CI63">
        <v>0</v>
      </c>
      <c r="CJ63">
        <v>0</v>
      </c>
      <c r="CK63">
        <v>1</v>
      </c>
      <c r="CL63">
        <v>0</v>
      </c>
      <c r="CM63">
        <v>0</v>
      </c>
      <c r="CO63" t="s">
        <v>102</v>
      </c>
      <c r="CP63" t="s">
        <v>1086</v>
      </c>
      <c r="CQ63" t="s">
        <v>94</v>
      </c>
      <c r="CR63" t="s">
        <v>1087</v>
      </c>
      <c r="CS63" t="s">
        <v>253</v>
      </c>
      <c r="CT63" t="s">
        <v>1088</v>
      </c>
      <c r="CU63" t="s">
        <v>523</v>
      </c>
      <c r="CV63" t="s">
        <v>1089</v>
      </c>
      <c r="CW63" t="s">
        <v>98</v>
      </c>
      <c r="CX63" t="s">
        <v>1090</v>
      </c>
      <c r="CY63" t="s">
        <v>1091</v>
      </c>
      <c r="CZ63" t="s">
        <v>1092</v>
      </c>
      <c r="DB63" t="s">
        <v>74</v>
      </c>
      <c r="DC63" t="s">
        <v>80</v>
      </c>
      <c r="DD63">
        <v>0</v>
      </c>
      <c r="DE63">
        <v>0</v>
      </c>
      <c r="DF63">
        <v>1</v>
      </c>
      <c r="DG63">
        <v>0</v>
      </c>
      <c r="DH63">
        <v>0</v>
      </c>
      <c r="DJ63" t="s">
        <v>1093</v>
      </c>
      <c r="DK63" t="s">
        <v>1094</v>
      </c>
      <c r="DL63" t="s">
        <v>1095</v>
      </c>
      <c r="DM63">
        <v>634186469</v>
      </c>
      <c r="DN63" t="s">
        <v>1096</v>
      </c>
      <c r="DO63" s="1">
        <v>46010.68141203704</v>
      </c>
      <c r="DR63" t="s">
        <v>62</v>
      </c>
      <c r="DT63" t="s">
        <v>76</v>
      </c>
      <c r="DV63" t="s">
        <v>1097</v>
      </c>
      <c r="DW63">
        <v>75</v>
      </c>
    </row>
    <row r="64" spans="1:127" x14ac:dyDescent="0.25">
      <c r="A64" s="1">
        <v>46008.438773912043</v>
      </c>
      <c r="B64" s="1">
        <v>46010.572503298608</v>
      </c>
      <c r="F64" t="s">
        <v>63</v>
      </c>
      <c r="H64" t="s">
        <v>85</v>
      </c>
      <c r="I64" s="1">
        <v>46008</v>
      </c>
      <c r="J64" t="s">
        <v>854</v>
      </c>
      <c r="K64" t="s">
        <v>1098</v>
      </c>
      <c r="L64">
        <v>-2.4519069999999998</v>
      </c>
      <c r="M64">
        <v>37.970677999999999</v>
      </c>
      <c r="N64">
        <v>954.5</v>
      </c>
      <c r="O64">
        <v>5.5</v>
      </c>
      <c r="Q64" t="s">
        <v>1099</v>
      </c>
      <c r="R64" t="s">
        <v>20</v>
      </c>
      <c r="S64" t="s">
        <v>190</v>
      </c>
      <c r="U64">
        <v>1</v>
      </c>
      <c r="V64">
        <v>2</v>
      </c>
      <c r="W64">
        <v>721978337</v>
      </c>
      <c r="X64" t="s">
        <v>150</v>
      </c>
      <c r="Y64" t="s">
        <v>247</v>
      </c>
      <c r="AA64" t="s">
        <v>81</v>
      </c>
      <c r="AB64">
        <v>1</v>
      </c>
      <c r="AC64">
        <v>0</v>
      </c>
      <c r="AD64">
        <v>0</v>
      </c>
      <c r="AE64">
        <v>0</v>
      </c>
      <c r="AG64" t="s">
        <v>90</v>
      </c>
      <c r="AH64" t="s">
        <v>70</v>
      </c>
      <c r="AI64" t="s">
        <v>113</v>
      </c>
      <c r="AJ64">
        <v>1</v>
      </c>
      <c r="AK64">
        <v>0</v>
      </c>
      <c r="AL64">
        <v>1</v>
      </c>
      <c r="AM64">
        <v>1</v>
      </c>
      <c r="AN64">
        <v>0</v>
      </c>
      <c r="AP64" t="s">
        <v>91</v>
      </c>
      <c r="AQ64">
        <v>1</v>
      </c>
      <c r="AR64">
        <v>0</v>
      </c>
      <c r="AS64">
        <v>1</v>
      </c>
      <c r="AT64">
        <v>0</v>
      </c>
      <c r="AU64">
        <v>0</v>
      </c>
      <c r="AV64">
        <v>0</v>
      </c>
      <c r="AX64" t="s">
        <v>115</v>
      </c>
      <c r="AY64">
        <v>1</v>
      </c>
      <c r="AZ64">
        <v>1</v>
      </c>
      <c r="BA64">
        <v>1</v>
      </c>
      <c r="BB64">
        <v>1</v>
      </c>
      <c r="BC64">
        <v>1</v>
      </c>
      <c r="BD64">
        <v>1</v>
      </c>
      <c r="BE64">
        <v>1</v>
      </c>
      <c r="BF64">
        <v>1</v>
      </c>
      <c r="BG64">
        <v>0</v>
      </c>
      <c r="BJ64" t="s">
        <v>1100</v>
      </c>
      <c r="BK64">
        <v>1</v>
      </c>
      <c r="BL64">
        <v>1</v>
      </c>
      <c r="BM64">
        <v>0</v>
      </c>
      <c r="BN64">
        <v>1</v>
      </c>
      <c r="BO64">
        <v>1</v>
      </c>
      <c r="BP64">
        <v>0</v>
      </c>
      <c r="BQ64">
        <v>0</v>
      </c>
      <c r="BR64">
        <v>0</v>
      </c>
      <c r="BS64">
        <v>0</v>
      </c>
      <c r="BT64">
        <v>0</v>
      </c>
      <c r="BU64">
        <v>0</v>
      </c>
      <c r="BV64">
        <v>0</v>
      </c>
      <c r="BW64">
        <v>1</v>
      </c>
      <c r="BX64">
        <v>0</v>
      </c>
      <c r="BY64">
        <v>1</v>
      </c>
      <c r="BZ64">
        <v>0</v>
      </c>
      <c r="CA64">
        <v>0</v>
      </c>
      <c r="CB64">
        <v>0</v>
      </c>
      <c r="CC64">
        <v>1</v>
      </c>
      <c r="CD64">
        <v>0</v>
      </c>
      <c r="CE64">
        <v>0</v>
      </c>
      <c r="CF64">
        <v>0</v>
      </c>
      <c r="CG64">
        <v>1</v>
      </c>
      <c r="CH64">
        <v>0</v>
      </c>
      <c r="CI64">
        <v>0</v>
      </c>
      <c r="CJ64">
        <v>0</v>
      </c>
      <c r="CK64">
        <v>1</v>
      </c>
      <c r="CL64">
        <v>0</v>
      </c>
      <c r="CM64">
        <v>0</v>
      </c>
      <c r="CO64" t="s">
        <v>94</v>
      </c>
      <c r="CP64" t="s">
        <v>1101</v>
      </c>
      <c r="CQ64" t="s">
        <v>102</v>
      </c>
      <c r="CR64" t="s">
        <v>1102</v>
      </c>
      <c r="CS64" t="s">
        <v>236</v>
      </c>
      <c r="CT64" t="s">
        <v>1103</v>
      </c>
      <c r="CU64" t="s">
        <v>98</v>
      </c>
      <c r="CV64" t="s">
        <v>1104</v>
      </c>
      <c r="CW64" t="s">
        <v>1105</v>
      </c>
      <c r="CX64" t="s">
        <v>1106</v>
      </c>
      <c r="CY64" t="s">
        <v>1091</v>
      </c>
      <c r="CZ64" t="s">
        <v>1078</v>
      </c>
      <c r="DB64" t="s">
        <v>74</v>
      </c>
      <c r="DC64" t="s">
        <v>80</v>
      </c>
      <c r="DD64">
        <v>0</v>
      </c>
      <c r="DE64">
        <v>0</v>
      </c>
      <c r="DF64">
        <v>1</v>
      </c>
      <c r="DG64">
        <v>0</v>
      </c>
      <c r="DH64">
        <v>0</v>
      </c>
      <c r="DJ64" t="s">
        <v>1107</v>
      </c>
      <c r="DK64" t="s">
        <v>1108</v>
      </c>
      <c r="DL64" t="s">
        <v>1109</v>
      </c>
      <c r="DM64">
        <v>634186475</v>
      </c>
      <c r="DN64" t="s">
        <v>1110</v>
      </c>
      <c r="DO64" s="1">
        <v>46010.681423611109</v>
      </c>
      <c r="DR64" t="s">
        <v>62</v>
      </c>
      <c r="DT64" t="s">
        <v>76</v>
      </c>
      <c r="DV64" t="s">
        <v>1111</v>
      </c>
      <c r="DW64">
        <v>76</v>
      </c>
    </row>
    <row r="65" spans="1:127" x14ac:dyDescent="0.25">
      <c r="A65" s="1">
        <v>46008.475008553243</v>
      </c>
      <c r="B65" s="1">
        <v>46010.580141296297</v>
      </c>
      <c r="F65" t="s">
        <v>63</v>
      </c>
      <c r="H65" t="s">
        <v>85</v>
      </c>
      <c r="I65" s="1">
        <v>46008</v>
      </c>
      <c r="J65" t="s">
        <v>1068</v>
      </c>
      <c r="K65" t="s">
        <v>1112</v>
      </c>
      <c r="L65">
        <v>-2.4520279999999999</v>
      </c>
      <c r="M65">
        <v>37.970942000000001</v>
      </c>
      <c r="N65">
        <v>929.4</v>
      </c>
      <c r="O65">
        <v>13.10000038146973</v>
      </c>
      <c r="Q65" t="s">
        <v>1113</v>
      </c>
      <c r="R65" t="s">
        <v>20</v>
      </c>
      <c r="S65" t="s">
        <v>89</v>
      </c>
      <c r="U65">
        <v>2</v>
      </c>
      <c r="V65">
        <v>3</v>
      </c>
      <c r="W65">
        <v>714196556</v>
      </c>
      <c r="X65" t="s">
        <v>1114</v>
      </c>
      <c r="Y65" t="s">
        <v>247</v>
      </c>
      <c r="AA65" t="s">
        <v>984</v>
      </c>
      <c r="AB65">
        <v>1</v>
      </c>
      <c r="AC65">
        <v>1</v>
      </c>
      <c r="AD65">
        <v>0</v>
      </c>
      <c r="AE65">
        <v>1</v>
      </c>
      <c r="AF65" t="s">
        <v>341</v>
      </c>
      <c r="AG65" t="s">
        <v>90</v>
      </c>
      <c r="AH65" t="s">
        <v>70</v>
      </c>
      <c r="AI65" t="s">
        <v>284</v>
      </c>
      <c r="AJ65">
        <v>1</v>
      </c>
      <c r="AK65">
        <v>0</v>
      </c>
      <c r="AL65">
        <v>0</v>
      </c>
      <c r="AM65">
        <v>1</v>
      </c>
      <c r="AN65">
        <v>0</v>
      </c>
      <c r="AP65" t="s">
        <v>91</v>
      </c>
      <c r="AQ65">
        <v>1</v>
      </c>
      <c r="AR65">
        <v>0</v>
      </c>
      <c r="AS65">
        <v>1</v>
      </c>
      <c r="AT65">
        <v>0</v>
      </c>
      <c r="AU65">
        <v>0</v>
      </c>
      <c r="AV65">
        <v>0</v>
      </c>
      <c r="AX65" t="s">
        <v>115</v>
      </c>
      <c r="AY65">
        <v>1</v>
      </c>
      <c r="AZ65">
        <v>1</v>
      </c>
      <c r="BA65">
        <v>1</v>
      </c>
      <c r="BB65">
        <v>1</v>
      </c>
      <c r="BC65">
        <v>1</v>
      </c>
      <c r="BD65">
        <v>1</v>
      </c>
      <c r="BE65">
        <v>1</v>
      </c>
      <c r="BF65">
        <v>1</v>
      </c>
      <c r="BG65">
        <v>0</v>
      </c>
      <c r="BJ65" t="s">
        <v>931</v>
      </c>
      <c r="BK65">
        <v>1</v>
      </c>
      <c r="BL65">
        <v>1</v>
      </c>
      <c r="BM65">
        <v>1</v>
      </c>
      <c r="BN65">
        <v>1</v>
      </c>
      <c r="BO65">
        <v>1</v>
      </c>
      <c r="BP65">
        <v>0</v>
      </c>
      <c r="BQ65">
        <v>0</v>
      </c>
      <c r="BR65">
        <v>0</v>
      </c>
      <c r="BS65">
        <v>0</v>
      </c>
      <c r="BT65">
        <v>0</v>
      </c>
      <c r="BU65">
        <v>0</v>
      </c>
      <c r="BV65">
        <v>0</v>
      </c>
      <c r="BW65">
        <v>1</v>
      </c>
      <c r="BX65">
        <v>0</v>
      </c>
      <c r="BY65">
        <v>0</v>
      </c>
      <c r="BZ65">
        <v>0</v>
      </c>
      <c r="CA65">
        <v>0</v>
      </c>
      <c r="CB65">
        <v>0</v>
      </c>
      <c r="CC65">
        <v>1</v>
      </c>
      <c r="CD65">
        <v>0</v>
      </c>
      <c r="CE65">
        <v>0</v>
      </c>
      <c r="CF65">
        <v>0</v>
      </c>
      <c r="CG65">
        <v>1</v>
      </c>
      <c r="CH65">
        <v>1</v>
      </c>
      <c r="CI65">
        <v>0</v>
      </c>
      <c r="CJ65">
        <v>0</v>
      </c>
      <c r="CK65">
        <v>1</v>
      </c>
      <c r="CL65">
        <v>0</v>
      </c>
      <c r="CM65">
        <v>0</v>
      </c>
      <c r="CO65" t="s">
        <v>94</v>
      </c>
      <c r="CP65" t="s">
        <v>1115</v>
      </c>
      <c r="CQ65" t="s">
        <v>102</v>
      </c>
      <c r="CR65" t="s">
        <v>1116</v>
      </c>
      <c r="CS65" t="s">
        <v>253</v>
      </c>
      <c r="CT65" t="s">
        <v>1117</v>
      </c>
      <c r="CU65" t="s">
        <v>98</v>
      </c>
      <c r="CV65" t="s">
        <v>1118</v>
      </c>
      <c r="CW65" t="s">
        <v>236</v>
      </c>
      <c r="CX65" t="s">
        <v>1119</v>
      </c>
      <c r="CY65" t="s">
        <v>1077</v>
      </c>
      <c r="CZ65" t="s">
        <v>608</v>
      </c>
      <c r="DC65" t="s">
        <v>80</v>
      </c>
      <c r="DD65">
        <v>0</v>
      </c>
      <c r="DE65">
        <v>0</v>
      </c>
      <c r="DF65">
        <v>1</v>
      </c>
      <c r="DG65">
        <v>0</v>
      </c>
      <c r="DH65">
        <v>0</v>
      </c>
      <c r="DJ65" t="s">
        <v>1120</v>
      </c>
      <c r="DK65" t="s">
        <v>1121</v>
      </c>
      <c r="DL65" t="s">
        <v>1122</v>
      </c>
      <c r="DM65">
        <v>634186483</v>
      </c>
      <c r="DN65" t="s">
        <v>1123</v>
      </c>
      <c r="DO65" s="1">
        <v>46010.681423611109</v>
      </c>
      <c r="DR65" t="s">
        <v>62</v>
      </c>
      <c r="DT65" t="s">
        <v>76</v>
      </c>
      <c r="DV65" t="s">
        <v>1124</v>
      </c>
      <c r="DW65">
        <v>77</v>
      </c>
    </row>
    <row r="66" spans="1:127" x14ac:dyDescent="0.25">
      <c r="A66" s="1">
        <v>46008.50601675926</v>
      </c>
      <c r="B66" s="1">
        <v>46010.586691504628</v>
      </c>
      <c r="F66" t="s">
        <v>63</v>
      </c>
      <c r="H66" t="s">
        <v>85</v>
      </c>
      <c r="I66" s="1">
        <v>46008</v>
      </c>
      <c r="J66" t="s">
        <v>854</v>
      </c>
      <c r="K66" t="s">
        <v>1125</v>
      </c>
      <c r="L66">
        <v>-2.450062</v>
      </c>
      <c r="M66">
        <v>37.968597000000003</v>
      </c>
      <c r="N66">
        <v>896.3</v>
      </c>
      <c r="O66">
        <v>11.19999980926514</v>
      </c>
      <c r="Q66" t="s">
        <v>1126</v>
      </c>
      <c r="R66" t="s">
        <v>64</v>
      </c>
      <c r="S66" t="s">
        <v>317</v>
      </c>
      <c r="U66">
        <v>3</v>
      </c>
      <c r="V66">
        <v>3</v>
      </c>
      <c r="W66">
        <v>797006936</v>
      </c>
      <c r="X66" t="s">
        <v>282</v>
      </c>
      <c r="Y66" t="s">
        <v>78</v>
      </c>
      <c r="AA66" t="s">
        <v>211</v>
      </c>
      <c r="AB66">
        <v>1</v>
      </c>
      <c r="AC66">
        <v>1</v>
      </c>
      <c r="AD66">
        <v>0</v>
      </c>
      <c r="AE66">
        <v>0</v>
      </c>
      <c r="AG66" t="s">
        <v>90</v>
      </c>
      <c r="AH66" t="s">
        <v>70</v>
      </c>
      <c r="AI66" t="s">
        <v>284</v>
      </c>
      <c r="AJ66">
        <v>1</v>
      </c>
      <c r="AK66">
        <v>0</v>
      </c>
      <c r="AL66">
        <v>0</v>
      </c>
      <c r="AM66">
        <v>1</v>
      </c>
      <c r="AN66">
        <v>0</v>
      </c>
      <c r="AP66" t="s">
        <v>91</v>
      </c>
      <c r="AQ66">
        <v>1</v>
      </c>
      <c r="AR66">
        <v>0</v>
      </c>
      <c r="AS66">
        <v>1</v>
      </c>
      <c r="AT66">
        <v>0</v>
      </c>
      <c r="AU66">
        <v>0</v>
      </c>
      <c r="AV66">
        <v>0</v>
      </c>
      <c r="AX66" t="s">
        <v>115</v>
      </c>
      <c r="AY66">
        <v>1</v>
      </c>
      <c r="AZ66">
        <v>1</v>
      </c>
      <c r="BA66">
        <v>1</v>
      </c>
      <c r="BB66">
        <v>1</v>
      </c>
      <c r="BC66">
        <v>1</v>
      </c>
      <c r="BD66">
        <v>1</v>
      </c>
      <c r="BE66">
        <v>1</v>
      </c>
      <c r="BF66">
        <v>1</v>
      </c>
      <c r="BG66">
        <v>0</v>
      </c>
      <c r="BJ66" t="s">
        <v>1127</v>
      </c>
      <c r="BK66">
        <v>1</v>
      </c>
      <c r="BL66">
        <v>1</v>
      </c>
      <c r="BM66">
        <v>0</v>
      </c>
      <c r="BN66">
        <v>1</v>
      </c>
      <c r="BO66">
        <v>1</v>
      </c>
      <c r="BP66">
        <v>0</v>
      </c>
      <c r="BQ66">
        <v>1</v>
      </c>
      <c r="BR66">
        <v>1</v>
      </c>
      <c r="BS66">
        <v>0</v>
      </c>
      <c r="BT66">
        <v>0</v>
      </c>
      <c r="BU66">
        <v>0</v>
      </c>
      <c r="BV66">
        <v>0</v>
      </c>
      <c r="BW66">
        <v>1</v>
      </c>
      <c r="BX66">
        <v>0</v>
      </c>
      <c r="BY66">
        <v>0</v>
      </c>
      <c r="BZ66">
        <v>0</v>
      </c>
      <c r="CA66">
        <v>0</v>
      </c>
      <c r="CB66">
        <v>0</v>
      </c>
      <c r="CC66">
        <v>1</v>
      </c>
      <c r="CD66">
        <v>0</v>
      </c>
      <c r="CE66">
        <v>0</v>
      </c>
      <c r="CF66">
        <v>0</v>
      </c>
      <c r="CG66">
        <v>1</v>
      </c>
      <c r="CH66">
        <v>0</v>
      </c>
      <c r="CI66">
        <v>0</v>
      </c>
      <c r="CJ66">
        <v>0</v>
      </c>
      <c r="CK66">
        <v>1</v>
      </c>
      <c r="CL66">
        <v>0</v>
      </c>
      <c r="CM66">
        <v>0</v>
      </c>
      <c r="CO66" t="s">
        <v>94</v>
      </c>
      <c r="CP66" t="s">
        <v>1128</v>
      </c>
      <c r="CQ66" t="s">
        <v>102</v>
      </c>
      <c r="CR66" t="s">
        <v>1129</v>
      </c>
      <c r="CS66" t="s">
        <v>98</v>
      </c>
      <c r="CT66" t="s">
        <v>1130</v>
      </c>
      <c r="CU66" t="s">
        <v>253</v>
      </c>
      <c r="CV66" t="s">
        <v>1131</v>
      </c>
      <c r="CW66" t="s">
        <v>749</v>
      </c>
      <c r="CX66" t="s">
        <v>1132</v>
      </c>
      <c r="CY66" t="s">
        <v>528</v>
      </c>
      <c r="CZ66" t="s">
        <v>608</v>
      </c>
      <c r="DB66" t="s">
        <v>74</v>
      </c>
      <c r="DC66" t="s">
        <v>80</v>
      </c>
      <c r="DD66">
        <v>0</v>
      </c>
      <c r="DE66">
        <v>0</v>
      </c>
      <c r="DF66">
        <v>1</v>
      </c>
      <c r="DG66">
        <v>0</v>
      </c>
      <c r="DH66">
        <v>0</v>
      </c>
      <c r="DJ66" t="s">
        <v>1133</v>
      </c>
      <c r="DK66" t="s">
        <v>1134</v>
      </c>
      <c r="DL66" t="s">
        <v>1135</v>
      </c>
      <c r="DM66">
        <v>634186493</v>
      </c>
      <c r="DN66" t="s">
        <v>1136</v>
      </c>
      <c r="DO66" s="1">
        <v>46010.681435185194</v>
      </c>
      <c r="DR66" t="s">
        <v>62</v>
      </c>
      <c r="DT66" t="s">
        <v>76</v>
      </c>
      <c r="DV66" t="s">
        <v>1137</v>
      </c>
      <c r="DW66">
        <v>78</v>
      </c>
    </row>
    <row r="67" spans="1:127" x14ac:dyDescent="0.25">
      <c r="A67" s="1">
        <v>46008.488772685188</v>
      </c>
      <c r="B67" s="1">
        <v>46010.599499814824</v>
      </c>
      <c r="F67" t="s">
        <v>63</v>
      </c>
      <c r="H67" t="s">
        <v>85</v>
      </c>
      <c r="I67" s="1">
        <v>46008</v>
      </c>
      <c r="J67" t="s">
        <v>854</v>
      </c>
      <c r="K67" t="s">
        <v>1138</v>
      </c>
      <c r="L67">
        <v>-2.4517030000000002</v>
      </c>
      <c r="M67">
        <v>37.969549999999998</v>
      </c>
      <c r="N67">
        <v>929.4</v>
      </c>
      <c r="O67">
        <v>10.39999961853027</v>
      </c>
      <c r="Q67" t="s">
        <v>1139</v>
      </c>
      <c r="R67" t="s">
        <v>64</v>
      </c>
      <c r="S67" t="s">
        <v>190</v>
      </c>
      <c r="U67">
        <v>5</v>
      </c>
      <c r="V67">
        <v>4</v>
      </c>
      <c r="W67">
        <v>711778345</v>
      </c>
      <c r="X67" t="s">
        <v>150</v>
      </c>
      <c r="Y67" t="s">
        <v>247</v>
      </c>
      <c r="AA67" t="s">
        <v>81</v>
      </c>
      <c r="AB67">
        <v>1</v>
      </c>
      <c r="AC67">
        <v>0</v>
      </c>
      <c r="AD67">
        <v>0</v>
      </c>
      <c r="AE67">
        <v>0</v>
      </c>
      <c r="AG67" t="s">
        <v>90</v>
      </c>
      <c r="AH67" t="s">
        <v>70</v>
      </c>
      <c r="AI67" t="s">
        <v>113</v>
      </c>
      <c r="AJ67">
        <v>1</v>
      </c>
      <c r="AK67">
        <v>0</v>
      </c>
      <c r="AL67">
        <v>1</v>
      </c>
      <c r="AM67">
        <v>1</v>
      </c>
      <c r="AN67">
        <v>0</v>
      </c>
      <c r="AP67" t="s">
        <v>91</v>
      </c>
      <c r="AQ67">
        <v>1</v>
      </c>
      <c r="AR67">
        <v>0</v>
      </c>
      <c r="AS67">
        <v>1</v>
      </c>
      <c r="AT67">
        <v>0</v>
      </c>
      <c r="AU67">
        <v>0</v>
      </c>
      <c r="AV67">
        <v>0</v>
      </c>
      <c r="AX67" t="s">
        <v>115</v>
      </c>
      <c r="AY67">
        <v>1</v>
      </c>
      <c r="AZ67">
        <v>1</v>
      </c>
      <c r="BA67">
        <v>1</v>
      </c>
      <c r="BB67">
        <v>1</v>
      </c>
      <c r="BC67">
        <v>1</v>
      </c>
      <c r="BD67">
        <v>1</v>
      </c>
      <c r="BE67">
        <v>1</v>
      </c>
      <c r="BF67">
        <v>1</v>
      </c>
      <c r="BG67">
        <v>0</v>
      </c>
      <c r="BJ67" t="s">
        <v>1140</v>
      </c>
      <c r="BK67">
        <v>1</v>
      </c>
      <c r="BL67">
        <v>1</v>
      </c>
      <c r="BM67">
        <v>0</v>
      </c>
      <c r="BN67">
        <v>1</v>
      </c>
      <c r="BO67">
        <v>1</v>
      </c>
      <c r="BP67">
        <v>0</v>
      </c>
      <c r="BQ67">
        <v>0</v>
      </c>
      <c r="BR67">
        <v>0</v>
      </c>
      <c r="BS67">
        <v>0</v>
      </c>
      <c r="BT67">
        <v>0</v>
      </c>
      <c r="BU67">
        <v>0</v>
      </c>
      <c r="BV67">
        <v>0</v>
      </c>
      <c r="BW67">
        <v>1</v>
      </c>
      <c r="BX67">
        <v>0</v>
      </c>
      <c r="BY67">
        <v>0</v>
      </c>
      <c r="BZ67">
        <v>0</v>
      </c>
      <c r="CA67">
        <v>0</v>
      </c>
      <c r="CB67">
        <v>0</v>
      </c>
      <c r="CC67">
        <v>1</v>
      </c>
      <c r="CD67">
        <v>0</v>
      </c>
      <c r="CE67">
        <v>0</v>
      </c>
      <c r="CF67">
        <v>0</v>
      </c>
      <c r="CG67">
        <v>0</v>
      </c>
      <c r="CH67">
        <v>0</v>
      </c>
      <c r="CI67">
        <v>0</v>
      </c>
      <c r="CJ67">
        <v>0</v>
      </c>
      <c r="CK67">
        <v>1</v>
      </c>
      <c r="CL67">
        <v>0</v>
      </c>
      <c r="CM67">
        <v>0</v>
      </c>
      <c r="CO67" t="s">
        <v>102</v>
      </c>
      <c r="CP67" t="s">
        <v>1141</v>
      </c>
      <c r="CQ67" t="s">
        <v>94</v>
      </c>
      <c r="CR67" t="s">
        <v>1142</v>
      </c>
      <c r="CS67" t="s">
        <v>138</v>
      </c>
      <c r="CT67" t="s">
        <v>415</v>
      </c>
      <c r="CU67" t="s">
        <v>98</v>
      </c>
      <c r="CV67" t="s">
        <v>1143</v>
      </c>
      <c r="CW67" t="s">
        <v>921</v>
      </c>
      <c r="CX67" t="s">
        <v>1144</v>
      </c>
      <c r="CY67" t="s">
        <v>1091</v>
      </c>
      <c r="CZ67" t="s">
        <v>1048</v>
      </c>
      <c r="DB67" t="s">
        <v>74</v>
      </c>
      <c r="DC67" t="s">
        <v>80</v>
      </c>
      <c r="DD67">
        <v>0</v>
      </c>
      <c r="DE67">
        <v>0</v>
      </c>
      <c r="DF67">
        <v>1</v>
      </c>
      <c r="DG67">
        <v>0</v>
      </c>
      <c r="DH67">
        <v>0</v>
      </c>
      <c r="DJ67" t="s">
        <v>1145</v>
      </c>
      <c r="DK67" t="s">
        <v>804</v>
      </c>
      <c r="DL67" t="s">
        <v>1146</v>
      </c>
      <c r="DM67">
        <v>634186506</v>
      </c>
      <c r="DN67" t="s">
        <v>1147</v>
      </c>
      <c r="DO67" s="1">
        <v>46010.681446759263</v>
      </c>
      <c r="DR67" t="s">
        <v>62</v>
      </c>
      <c r="DT67" t="s">
        <v>76</v>
      </c>
      <c r="DV67" t="s">
        <v>1148</v>
      </c>
      <c r="DW67">
        <v>79</v>
      </c>
    </row>
    <row r="68" spans="1:127" x14ac:dyDescent="0.25">
      <c r="A68" s="1">
        <v>46008.542893333331</v>
      </c>
      <c r="B68" s="1">
        <v>46010.61243212963</v>
      </c>
      <c r="F68" t="s">
        <v>63</v>
      </c>
      <c r="H68" t="s">
        <v>85</v>
      </c>
      <c r="I68" s="1">
        <v>46008</v>
      </c>
      <c r="J68" t="s">
        <v>854</v>
      </c>
      <c r="K68" t="s">
        <v>1149</v>
      </c>
      <c r="L68">
        <v>-2.4510070000000002</v>
      </c>
      <c r="M68">
        <v>37.968152000000003</v>
      </c>
      <c r="N68">
        <v>929</v>
      </c>
      <c r="O68">
        <v>8.6999998092651367</v>
      </c>
      <c r="Q68" t="s">
        <v>1150</v>
      </c>
      <c r="R68" t="s">
        <v>20</v>
      </c>
      <c r="S68" t="s">
        <v>190</v>
      </c>
      <c r="U68">
        <v>3</v>
      </c>
      <c r="V68">
        <v>3</v>
      </c>
      <c r="W68">
        <v>705165335</v>
      </c>
      <c r="X68" t="s">
        <v>150</v>
      </c>
      <c r="Y68" t="s">
        <v>247</v>
      </c>
      <c r="AA68" t="s">
        <v>211</v>
      </c>
      <c r="AB68">
        <v>1</v>
      </c>
      <c r="AC68">
        <v>1</v>
      </c>
      <c r="AD68">
        <v>0</v>
      </c>
      <c r="AE68">
        <v>0</v>
      </c>
      <c r="AG68" t="s">
        <v>90</v>
      </c>
      <c r="AH68" t="s">
        <v>70</v>
      </c>
      <c r="AI68" t="s">
        <v>284</v>
      </c>
      <c r="AJ68">
        <v>1</v>
      </c>
      <c r="AK68">
        <v>0</v>
      </c>
      <c r="AL68">
        <v>0</v>
      </c>
      <c r="AM68">
        <v>1</v>
      </c>
      <c r="AN68">
        <v>0</v>
      </c>
      <c r="AP68" t="s">
        <v>91</v>
      </c>
      <c r="AQ68">
        <v>1</v>
      </c>
      <c r="AR68">
        <v>0</v>
      </c>
      <c r="AS68">
        <v>1</v>
      </c>
      <c r="AT68">
        <v>0</v>
      </c>
      <c r="AU68">
        <v>0</v>
      </c>
      <c r="AV68">
        <v>0</v>
      </c>
      <c r="AX68" t="s">
        <v>115</v>
      </c>
      <c r="AY68">
        <v>1</v>
      </c>
      <c r="AZ68">
        <v>1</v>
      </c>
      <c r="BA68">
        <v>1</v>
      </c>
      <c r="BB68">
        <v>1</v>
      </c>
      <c r="BC68">
        <v>1</v>
      </c>
      <c r="BD68">
        <v>1</v>
      </c>
      <c r="BE68">
        <v>1</v>
      </c>
      <c r="BF68">
        <v>1</v>
      </c>
      <c r="BG68">
        <v>0</v>
      </c>
      <c r="BJ68" t="s">
        <v>1151</v>
      </c>
      <c r="BK68">
        <v>1</v>
      </c>
      <c r="BL68">
        <v>1</v>
      </c>
      <c r="BM68">
        <v>0</v>
      </c>
      <c r="BN68">
        <v>1</v>
      </c>
      <c r="BO68">
        <v>1</v>
      </c>
      <c r="BP68">
        <v>0</v>
      </c>
      <c r="BQ68">
        <v>0</v>
      </c>
      <c r="BR68">
        <v>1</v>
      </c>
      <c r="BS68">
        <v>0</v>
      </c>
      <c r="BT68">
        <v>0</v>
      </c>
      <c r="BU68">
        <v>0</v>
      </c>
      <c r="BV68">
        <v>0</v>
      </c>
      <c r="BW68">
        <v>1</v>
      </c>
      <c r="BX68">
        <v>0</v>
      </c>
      <c r="BY68">
        <v>1</v>
      </c>
      <c r="BZ68">
        <v>0</v>
      </c>
      <c r="CA68">
        <v>0</v>
      </c>
      <c r="CB68">
        <v>0</v>
      </c>
      <c r="CC68">
        <v>1</v>
      </c>
      <c r="CD68">
        <v>0</v>
      </c>
      <c r="CE68">
        <v>0</v>
      </c>
      <c r="CF68">
        <v>0</v>
      </c>
      <c r="CG68">
        <v>1</v>
      </c>
      <c r="CH68">
        <v>0</v>
      </c>
      <c r="CI68">
        <v>0</v>
      </c>
      <c r="CJ68">
        <v>0</v>
      </c>
      <c r="CK68">
        <v>1</v>
      </c>
      <c r="CL68">
        <v>0</v>
      </c>
      <c r="CM68">
        <v>0</v>
      </c>
      <c r="CO68" t="s">
        <v>98</v>
      </c>
      <c r="CP68" t="s">
        <v>1143</v>
      </c>
      <c r="CQ68" t="s">
        <v>94</v>
      </c>
      <c r="CR68" t="s">
        <v>1152</v>
      </c>
      <c r="CS68" t="s">
        <v>102</v>
      </c>
      <c r="CT68" t="s">
        <v>1153</v>
      </c>
      <c r="CU68" t="s">
        <v>253</v>
      </c>
      <c r="CV68" t="s">
        <v>1154</v>
      </c>
      <c r="CW68" t="s">
        <v>749</v>
      </c>
      <c r="CX68" t="s">
        <v>1155</v>
      </c>
      <c r="CY68" t="s">
        <v>528</v>
      </c>
      <c r="CZ68" t="s">
        <v>1156</v>
      </c>
      <c r="DB68" t="s">
        <v>74</v>
      </c>
      <c r="DC68" t="s">
        <v>80</v>
      </c>
      <c r="DD68">
        <v>0</v>
      </c>
      <c r="DE68">
        <v>0</v>
      </c>
      <c r="DF68">
        <v>1</v>
      </c>
      <c r="DG68">
        <v>0</v>
      </c>
      <c r="DH68">
        <v>0</v>
      </c>
      <c r="DJ68" t="s">
        <v>1157</v>
      </c>
      <c r="DK68" t="s">
        <v>1158</v>
      </c>
      <c r="DL68" t="s">
        <v>1159</v>
      </c>
      <c r="DM68">
        <v>634186513</v>
      </c>
      <c r="DN68" t="s">
        <v>1160</v>
      </c>
      <c r="DO68" s="1">
        <v>46010.681458333333</v>
      </c>
      <c r="DR68" t="s">
        <v>62</v>
      </c>
      <c r="DT68" t="s">
        <v>76</v>
      </c>
      <c r="DV68" t="s">
        <v>1161</v>
      </c>
      <c r="DW68">
        <v>80</v>
      </c>
    </row>
    <row r="69" spans="1:127" x14ac:dyDescent="0.25">
      <c r="A69" s="1">
        <v>45987.594330219908</v>
      </c>
      <c r="B69" s="1">
        <v>46010.613955000001</v>
      </c>
      <c r="F69" t="s">
        <v>63</v>
      </c>
      <c r="H69" t="s">
        <v>85</v>
      </c>
      <c r="I69" s="1">
        <v>45987</v>
      </c>
      <c r="J69" t="s">
        <v>86</v>
      </c>
      <c r="K69" t="s">
        <v>1162</v>
      </c>
      <c r="L69">
        <v>-2.3456899999999998</v>
      </c>
      <c r="M69">
        <v>37.872562000000002</v>
      </c>
      <c r="N69">
        <v>1001.7</v>
      </c>
      <c r="O69">
        <v>7.1999998092651367</v>
      </c>
      <c r="Q69" t="s">
        <v>1163</v>
      </c>
      <c r="R69" t="s">
        <v>64</v>
      </c>
      <c r="S69" t="s">
        <v>471</v>
      </c>
      <c r="U69">
        <v>2</v>
      </c>
      <c r="V69">
        <v>2</v>
      </c>
      <c r="W69">
        <v>704387518</v>
      </c>
      <c r="X69" t="s">
        <v>150</v>
      </c>
      <c r="Y69" t="s">
        <v>67</v>
      </c>
      <c r="AA69" t="s">
        <v>68</v>
      </c>
      <c r="AB69">
        <v>1</v>
      </c>
      <c r="AC69">
        <v>1</v>
      </c>
      <c r="AD69">
        <v>1</v>
      </c>
      <c r="AE69">
        <v>0</v>
      </c>
      <c r="AG69" t="s">
        <v>69</v>
      </c>
      <c r="AH69" t="s">
        <v>70</v>
      </c>
      <c r="AI69" t="s">
        <v>172</v>
      </c>
      <c r="AJ69">
        <v>1</v>
      </c>
      <c r="AK69">
        <v>1</v>
      </c>
      <c r="AL69">
        <v>1</v>
      </c>
      <c r="AM69">
        <v>1</v>
      </c>
      <c r="AN69">
        <v>0</v>
      </c>
      <c r="AO69">
        <v>2</v>
      </c>
      <c r="AP69" t="s">
        <v>392</v>
      </c>
      <c r="AQ69">
        <v>1</v>
      </c>
      <c r="AR69">
        <v>0</v>
      </c>
      <c r="AS69">
        <v>1</v>
      </c>
      <c r="AT69">
        <v>0</v>
      </c>
      <c r="AU69">
        <v>1</v>
      </c>
      <c r="AV69">
        <v>0</v>
      </c>
      <c r="AX69" t="s">
        <v>115</v>
      </c>
      <c r="AY69">
        <v>1</v>
      </c>
      <c r="AZ69">
        <v>1</v>
      </c>
      <c r="BA69">
        <v>1</v>
      </c>
      <c r="BB69">
        <v>1</v>
      </c>
      <c r="BC69">
        <v>1</v>
      </c>
      <c r="BD69">
        <v>1</v>
      </c>
      <c r="BE69">
        <v>1</v>
      </c>
      <c r="BF69">
        <v>1</v>
      </c>
      <c r="BG69">
        <v>0</v>
      </c>
      <c r="BJ69" t="s">
        <v>1164</v>
      </c>
      <c r="BK69">
        <v>1</v>
      </c>
      <c r="BL69">
        <v>1</v>
      </c>
      <c r="BM69">
        <v>0</v>
      </c>
      <c r="BN69">
        <v>1</v>
      </c>
      <c r="BO69">
        <v>1</v>
      </c>
      <c r="BP69">
        <v>1</v>
      </c>
      <c r="BQ69">
        <v>1</v>
      </c>
      <c r="BR69">
        <v>0</v>
      </c>
      <c r="BS69">
        <v>0</v>
      </c>
      <c r="BT69">
        <v>0</v>
      </c>
      <c r="BU69">
        <v>0</v>
      </c>
      <c r="BV69">
        <v>0</v>
      </c>
      <c r="BW69">
        <v>0</v>
      </c>
      <c r="BX69">
        <v>0</v>
      </c>
      <c r="BY69">
        <v>1</v>
      </c>
      <c r="BZ69">
        <v>0</v>
      </c>
      <c r="CA69">
        <v>0</v>
      </c>
      <c r="CB69">
        <v>0</v>
      </c>
      <c r="CC69">
        <v>1</v>
      </c>
      <c r="CD69">
        <v>0</v>
      </c>
      <c r="CE69">
        <v>0</v>
      </c>
      <c r="CF69">
        <v>1</v>
      </c>
      <c r="CG69">
        <v>1</v>
      </c>
      <c r="CH69">
        <v>0</v>
      </c>
      <c r="CI69">
        <v>0</v>
      </c>
      <c r="CJ69">
        <v>0</v>
      </c>
      <c r="CK69">
        <v>0</v>
      </c>
      <c r="CL69">
        <v>0</v>
      </c>
      <c r="CM69">
        <v>0</v>
      </c>
      <c r="CO69" t="s">
        <v>98</v>
      </c>
      <c r="CP69" t="s">
        <v>1165</v>
      </c>
      <c r="CQ69" t="s">
        <v>138</v>
      </c>
      <c r="CR69" t="s">
        <v>1166</v>
      </c>
      <c r="CS69" t="s">
        <v>96</v>
      </c>
      <c r="CT69" t="s">
        <v>1167</v>
      </c>
      <c r="CU69" t="s">
        <v>100</v>
      </c>
      <c r="CV69" t="s">
        <v>1168</v>
      </c>
      <c r="CW69" t="s">
        <v>253</v>
      </c>
      <c r="CX69" t="s">
        <v>1169</v>
      </c>
      <c r="CY69" t="s">
        <v>1170</v>
      </c>
      <c r="CZ69" t="s">
        <v>1171</v>
      </c>
      <c r="DB69" t="s">
        <v>74</v>
      </c>
      <c r="DC69" t="s">
        <v>84</v>
      </c>
      <c r="DD69">
        <v>1</v>
      </c>
      <c r="DE69">
        <v>0</v>
      </c>
      <c r="DF69">
        <v>0</v>
      </c>
      <c r="DG69">
        <v>0</v>
      </c>
      <c r="DH69">
        <v>0</v>
      </c>
      <c r="DJ69" t="s">
        <v>1172</v>
      </c>
      <c r="DK69" t="s">
        <v>1173</v>
      </c>
      <c r="DL69" t="s">
        <v>1174</v>
      </c>
      <c r="DM69">
        <v>634186525</v>
      </c>
      <c r="DN69" t="s">
        <v>1175</v>
      </c>
      <c r="DO69" s="1">
        <v>46010.681458333333</v>
      </c>
      <c r="DR69" t="s">
        <v>62</v>
      </c>
      <c r="DT69" t="s">
        <v>76</v>
      </c>
      <c r="DV69" t="s">
        <v>1176</v>
      </c>
      <c r="DW69">
        <v>81</v>
      </c>
    </row>
    <row r="70" spans="1:127" x14ac:dyDescent="0.25">
      <c r="A70" s="1">
        <v>46008.41870318287</v>
      </c>
      <c r="B70" s="1">
        <v>46010.811934259262</v>
      </c>
      <c r="F70" t="s">
        <v>63</v>
      </c>
      <c r="H70" t="s">
        <v>85</v>
      </c>
      <c r="I70" s="1">
        <v>46008</v>
      </c>
      <c r="J70" t="s">
        <v>854</v>
      </c>
      <c r="K70" t="s">
        <v>1177</v>
      </c>
      <c r="L70">
        <v>-2.4480819999999999</v>
      </c>
      <c r="M70">
        <v>37.969633000000002</v>
      </c>
      <c r="N70">
        <v>938.8</v>
      </c>
      <c r="O70">
        <v>4.4000000953674316</v>
      </c>
      <c r="Q70" t="s">
        <v>1178</v>
      </c>
      <c r="R70" t="s">
        <v>64</v>
      </c>
      <c r="S70" t="s">
        <v>190</v>
      </c>
      <c r="U70">
        <v>4</v>
      </c>
      <c r="V70">
        <v>3</v>
      </c>
      <c r="X70" t="s">
        <v>150</v>
      </c>
      <c r="Y70" t="s">
        <v>247</v>
      </c>
      <c r="AA70" t="s">
        <v>68</v>
      </c>
      <c r="AB70">
        <v>1</v>
      </c>
      <c r="AC70">
        <v>1</v>
      </c>
      <c r="AD70">
        <v>1</v>
      </c>
      <c r="AE70">
        <v>0</v>
      </c>
      <c r="AG70" t="s">
        <v>90</v>
      </c>
      <c r="AH70" t="s">
        <v>70</v>
      </c>
      <c r="AI70" t="s">
        <v>284</v>
      </c>
      <c r="AJ70">
        <v>1</v>
      </c>
      <c r="AK70">
        <v>0</v>
      </c>
      <c r="AL70">
        <v>0</v>
      </c>
      <c r="AM70">
        <v>1</v>
      </c>
      <c r="AN70">
        <v>0</v>
      </c>
      <c r="AP70" t="s">
        <v>91</v>
      </c>
      <c r="AQ70">
        <v>1</v>
      </c>
      <c r="AR70">
        <v>0</v>
      </c>
      <c r="AS70">
        <v>1</v>
      </c>
      <c r="AT70">
        <v>0</v>
      </c>
      <c r="AU70">
        <v>0</v>
      </c>
      <c r="AV70">
        <v>0</v>
      </c>
      <c r="AX70" t="s">
        <v>115</v>
      </c>
      <c r="AY70">
        <v>1</v>
      </c>
      <c r="AZ70">
        <v>1</v>
      </c>
      <c r="BA70">
        <v>1</v>
      </c>
      <c r="BB70">
        <v>1</v>
      </c>
      <c r="BC70">
        <v>1</v>
      </c>
      <c r="BD70">
        <v>1</v>
      </c>
      <c r="BE70">
        <v>1</v>
      </c>
      <c r="BF70">
        <v>1</v>
      </c>
      <c r="BG70">
        <v>0</v>
      </c>
      <c r="BJ70" t="s">
        <v>826</v>
      </c>
      <c r="BK70">
        <v>1</v>
      </c>
      <c r="BL70">
        <v>1</v>
      </c>
      <c r="BM70">
        <v>0</v>
      </c>
      <c r="BN70">
        <v>1</v>
      </c>
      <c r="BO70">
        <v>1</v>
      </c>
      <c r="BP70">
        <v>0</v>
      </c>
      <c r="BQ70">
        <v>0</v>
      </c>
      <c r="BR70">
        <v>0</v>
      </c>
      <c r="BS70">
        <v>0</v>
      </c>
      <c r="BT70">
        <v>0</v>
      </c>
      <c r="BU70">
        <v>0</v>
      </c>
      <c r="BV70">
        <v>0</v>
      </c>
      <c r="BW70">
        <v>1</v>
      </c>
      <c r="BX70">
        <v>0</v>
      </c>
      <c r="BY70">
        <v>1</v>
      </c>
      <c r="BZ70">
        <v>0</v>
      </c>
      <c r="CA70">
        <v>0</v>
      </c>
      <c r="CB70">
        <v>0</v>
      </c>
      <c r="CC70">
        <v>1</v>
      </c>
      <c r="CD70">
        <v>0</v>
      </c>
      <c r="CE70">
        <v>0</v>
      </c>
      <c r="CF70">
        <v>0</v>
      </c>
      <c r="CG70">
        <v>1</v>
      </c>
      <c r="CH70">
        <v>1</v>
      </c>
      <c r="CI70">
        <v>0</v>
      </c>
      <c r="CJ70">
        <v>0</v>
      </c>
      <c r="CK70">
        <v>1</v>
      </c>
      <c r="CL70">
        <v>0</v>
      </c>
      <c r="CM70">
        <v>0</v>
      </c>
      <c r="CO70" t="s">
        <v>94</v>
      </c>
      <c r="CP70" t="s">
        <v>1179</v>
      </c>
      <c r="CQ70" t="s">
        <v>102</v>
      </c>
      <c r="CR70" t="s">
        <v>1180</v>
      </c>
      <c r="CS70" t="s">
        <v>98</v>
      </c>
      <c r="CT70" t="s">
        <v>958</v>
      </c>
      <c r="CU70" t="s">
        <v>253</v>
      </c>
      <c r="CV70" t="s">
        <v>1181</v>
      </c>
      <c r="CW70" t="s">
        <v>921</v>
      </c>
      <c r="CX70" t="s">
        <v>958</v>
      </c>
      <c r="CY70" t="s">
        <v>528</v>
      </c>
      <c r="CZ70" t="s">
        <v>1048</v>
      </c>
      <c r="DB70" t="s">
        <v>74</v>
      </c>
      <c r="DC70" t="s">
        <v>80</v>
      </c>
      <c r="DD70">
        <v>0</v>
      </c>
      <c r="DE70">
        <v>0</v>
      </c>
      <c r="DF70">
        <v>1</v>
      </c>
      <c r="DG70">
        <v>0</v>
      </c>
      <c r="DH70">
        <v>0</v>
      </c>
      <c r="DJ70" t="s">
        <v>1182</v>
      </c>
      <c r="DK70" t="s">
        <v>1183</v>
      </c>
      <c r="DL70" t="s">
        <v>938</v>
      </c>
      <c r="DM70">
        <v>634193356</v>
      </c>
      <c r="DN70" t="s">
        <v>1184</v>
      </c>
      <c r="DO70" s="1">
        <v>46010.686967592592</v>
      </c>
      <c r="DR70" t="s">
        <v>62</v>
      </c>
      <c r="DT70" t="s">
        <v>76</v>
      </c>
      <c r="DV70" t="s">
        <v>1185</v>
      </c>
      <c r="DW70">
        <v>82</v>
      </c>
    </row>
    <row r="71" spans="1:127" x14ac:dyDescent="0.25">
      <c r="A71" s="1"/>
      <c r="B71" s="1"/>
      <c r="I71" s="1"/>
      <c r="AB71">
        <f>SUM(AB2:AB70)</f>
        <v>66</v>
      </c>
      <c r="AC71">
        <f>SUM(AC2:AC70)</f>
        <v>48</v>
      </c>
      <c r="AD71">
        <f>SUM(AD2:AD70)</f>
        <v>46</v>
      </c>
      <c r="AE71">
        <f>SUM(AE2:AE70)</f>
        <v>12</v>
      </c>
      <c r="BK71">
        <f>COUNTIF(BK2:BK70,1)</f>
        <v>58</v>
      </c>
      <c r="BL71">
        <f>COUNTIF(BL2:BL70,1)</f>
        <v>65</v>
      </c>
      <c r="BM71">
        <f t="shared" ref="BM71:CE71" si="0">COUNTIF(BM2:BM70,1)</f>
        <v>11</v>
      </c>
      <c r="BN71">
        <f t="shared" si="0"/>
        <v>67</v>
      </c>
      <c r="BO71">
        <f t="shared" si="0"/>
        <v>59</v>
      </c>
      <c r="BP71">
        <f t="shared" si="0"/>
        <v>12</v>
      </c>
      <c r="BQ71">
        <f t="shared" si="0"/>
        <v>21</v>
      </c>
      <c r="BR71">
        <f t="shared" si="0"/>
        <v>20</v>
      </c>
      <c r="BS71">
        <f t="shared" si="0"/>
        <v>0</v>
      </c>
      <c r="BT71">
        <f t="shared" si="0"/>
        <v>2</v>
      </c>
      <c r="BU71">
        <f t="shared" si="0"/>
        <v>0</v>
      </c>
      <c r="BV71">
        <f t="shared" si="0"/>
        <v>0</v>
      </c>
      <c r="BW71">
        <f t="shared" si="0"/>
        <v>45</v>
      </c>
      <c r="BX71">
        <f t="shared" si="0"/>
        <v>7</v>
      </c>
      <c r="BY71">
        <f t="shared" si="0"/>
        <v>22</v>
      </c>
      <c r="BZ71">
        <f t="shared" si="0"/>
        <v>0</v>
      </c>
      <c r="CA71">
        <f t="shared" si="0"/>
        <v>0</v>
      </c>
      <c r="CB71">
        <f t="shared" si="0"/>
        <v>0</v>
      </c>
      <c r="CC71">
        <f t="shared" si="0"/>
        <v>68</v>
      </c>
      <c r="CD71">
        <f t="shared" si="0"/>
        <v>17</v>
      </c>
      <c r="CE71">
        <f t="shared" si="0"/>
        <v>3</v>
      </c>
      <c r="CF71">
        <f t="shared" ref="CF71:CM71" si="1">COUNTIF(CF2:CF70,1)</f>
        <v>4</v>
      </c>
      <c r="CG71">
        <f t="shared" si="1"/>
        <v>49</v>
      </c>
      <c r="CH71">
        <f t="shared" si="1"/>
        <v>46</v>
      </c>
      <c r="CI71">
        <f t="shared" si="1"/>
        <v>2</v>
      </c>
      <c r="CJ71">
        <f t="shared" si="1"/>
        <v>0</v>
      </c>
      <c r="CK71">
        <f t="shared" si="1"/>
        <v>51</v>
      </c>
      <c r="CL71">
        <f t="shared" si="1"/>
        <v>39</v>
      </c>
      <c r="CM71">
        <f t="shared" si="1"/>
        <v>0</v>
      </c>
      <c r="DO71" s="1"/>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5DED2-2005-4FC4-842C-BC6C582F9776}">
  <dimension ref="A3:B6"/>
  <sheetViews>
    <sheetView workbookViewId="0">
      <selection activeCell="F2" sqref="F2"/>
    </sheetView>
  </sheetViews>
  <sheetFormatPr defaultRowHeight="15" x14ac:dyDescent="0.25"/>
  <cols>
    <col min="1" max="1" width="13.140625" bestFit="1" customWidth="1"/>
    <col min="2" max="2" width="15.85546875" bestFit="1" customWidth="1"/>
  </cols>
  <sheetData>
    <row r="3" spans="1:2" x14ac:dyDescent="0.25">
      <c r="A3" s="2" t="s">
        <v>1192</v>
      </c>
      <c r="B3" t="s">
        <v>1267</v>
      </c>
    </row>
    <row r="4" spans="1:2" x14ac:dyDescent="0.25">
      <c r="A4" s="3" t="s">
        <v>20</v>
      </c>
      <c r="B4">
        <v>35</v>
      </c>
    </row>
    <row r="5" spans="1:2" x14ac:dyDescent="0.25">
      <c r="A5" s="3" t="s">
        <v>64</v>
      </c>
      <c r="B5">
        <v>34</v>
      </c>
    </row>
    <row r="6" spans="1:2" x14ac:dyDescent="0.25">
      <c r="A6" s="3" t="s">
        <v>1193</v>
      </c>
      <c r="B6">
        <v>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A5533-0821-4FAC-8977-518404CC3678}">
  <dimension ref="A3:D14"/>
  <sheetViews>
    <sheetView workbookViewId="0">
      <selection activeCell="J14" sqref="J14"/>
    </sheetView>
  </sheetViews>
  <sheetFormatPr defaultRowHeight="15" x14ac:dyDescent="0.25"/>
  <cols>
    <col min="1" max="1" width="13.140625" bestFit="1" customWidth="1"/>
    <col min="2" max="2" width="16.28515625" bestFit="1" customWidth="1"/>
    <col min="3" max="3" width="5.5703125" bestFit="1" customWidth="1"/>
    <col min="4" max="4" width="11.28515625" bestFit="1" customWidth="1"/>
  </cols>
  <sheetData>
    <row r="3" spans="1:4" x14ac:dyDescent="0.25">
      <c r="A3" s="2" t="s">
        <v>1268</v>
      </c>
      <c r="B3" s="2" t="s">
        <v>1205</v>
      </c>
    </row>
    <row r="4" spans="1:4" x14ac:dyDescent="0.25">
      <c r="A4" s="2" t="s">
        <v>1192</v>
      </c>
      <c r="B4" t="s">
        <v>20</v>
      </c>
      <c r="C4" t="s">
        <v>64</v>
      </c>
      <c r="D4" t="s">
        <v>1193</v>
      </c>
    </row>
    <row r="5" spans="1:4" x14ac:dyDescent="0.25">
      <c r="A5" s="3" t="s">
        <v>65</v>
      </c>
      <c r="B5">
        <v>1</v>
      </c>
      <c r="D5">
        <v>1</v>
      </c>
    </row>
    <row r="6" spans="1:4" x14ac:dyDescent="0.25">
      <c r="A6" s="3" t="s">
        <v>409</v>
      </c>
      <c r="C6">
        <v>2</v>
      </c>
      <c r="D6">
        <v>2</v>
      </c>
    </row>
    <row r="7" spans="1:4" x14ac:dyDescent="0.25">
      <c r="A7" s="3" t="s">
        <v>471</v>
      </c>
      <c r="B7">
        <v>2</v>
      </c>
      <c r="C7">
        <v>1</v>
      </c>
      <c r="D7">
        <v>3</v>
      </c>
    </row>
    <row r="8" spans="1:4" x14ac:dyDescent="0.25">
      <c r="A8" s="3" t="s">
        <v>228</v>
      </c>
      <c r="B8">
        <v>5</v>
      </c>
      <c r="C8">
        <v>1</v>
      </c>
      <c r="D8">
        <v>6</v>
      </c>
    </row>
    <row r="9" spans="1:4" x14ac:dyDescent="0.25">
      <c r="A9" s="3" t="s">
        <v>89</v>
      </c>
      <c r="B9">
        <v>7</v>
      </c>
      <c r="C9">
        <v>2</v>
      </c>
      <c r="D9">
        <v>9</v>
      </c>
    </row>
    <row r="10" spans="1:4" x14ac:dyDescent="0.25">
      <c r="A10" s="3" t="s">
        <v>130</v>
      </c>
      <c r="B10">
        <v>4</v>
      </c>
      <c r="C10">
        <v>3</v>
      </c>
      <c r="D10">
        <v>7</v>
      </c>
    </row>
    <row r="11" spans="1:4" x14ac:dyDescent="0.25">
      <c r="A11" s="3" t="s">
        <v>317</v>
      </c>
      <c r="B11">
        <v>5</v>
      </c>
      <c r="C11">
        <v>6</v>
      </c>
      <c r="D11">
        <v>11</v>
      </c>
    </row>
    <row r="12" spans="1:4" x14ac:dyDescent="0.25">
      <c r="A12" s="3" t="s">
        <v>77</v>
      </c>
      <c r="B12">
        <v>5</v>
      </c>
      <c r="C12">
        <v>5</v>
      </c>
      <c r="D12">
        <v>10</v>
      </c>
    </row>
    <row r="13" spans="1:4" x14ac:dyDescent="0.25">
      <c r="A13" s="3" t="s">
        <v>190</v>
      </c>
      <c r="B13">
        <v>6</v>
      </c>
      <c r="C13">
        <v>14</v>
      </c>
      <c r="D13">
        <v>20</v>
      </c>
    </row>
    <row r="14" spans="1:4" x14ac:dyDescent="0.25">
      <c r="A14" s="3" t="s">
        <v>1193</v>
      </c>
      <c r="B14">
        <v>35</v>
      </c>
      <c r="C14">
        <v>34</v>
      </c>
      <c r="D14">
        <v>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43B82-C5C0-4AEE-A888-A268E3F875DF}">
  <dimension ref="A3:G20"/>
  <sheetViews>
    <sheetView workbookViewId="0">
      <selection activeCell="F18" sqref="F18"/>
    </sheetView>
  </sheetViews>
  <sheetFormatPr defaultRowHeight="15" x14ac:dyDescent="0.25"/>
  <cols>
    <col min="1" max="1" width="13.140625" bestFit="1" customWidth="1"/>
    <col min="2" max="2" width="12.42578125" bestFit="1" customWidth="1"/>
  </cols>
  <sheetData>
    <row r="3" spans="1:2" x14ac:dyDescent="0.25">
      <c r="A3" s="2" t="s">
        <v>1192</v>
      </c>
      <c r="B3" t="s">
        <v>1268</v>
      </c>
    </row>
    <row r="4" spans="1:2" x14ac:dyDescent="0.25">
      <c r="A4" s="3" t="s">
        <v>65</v>
      </c>
      <c r="B4">
        <v>1</v>
      </c>
    </row>
    <row r="5" spans="1:2" x14ac:dyDescent="0.25">
      <c r="A5" s="3" t="s">
        <v>409</v>
      </c>
      <c r="B5">
        <v>2</v>
      </c>
    </row>
    <row r="6" spans="1:2" x14ac:dyDescent="0.25">
      <c r="A6" s="3" t="s">
        <v>471</v>
      </c>
      <c r="B6">
        <v>3</v>
      </c>
    </row>
    <row r="7" spans="1:2" x14ac:dyDescent="0.25">
      <c r="A7" s="3" t="s">
        <v>228</v>
      </c>
      <c r="B7">
        <v>6</v>
      </c>
    </row>
    <row r="8" spans="1:2" x14ac:dyDescent="0.25">
      <c r="A8" s="3" t="s">
        <v>89</v>
      </c>
      <c r="B8">
        <v>9</v>
      </c>
    </row>
    <row r="9" spans="1:2" x14ac:dyDescent="0.25">
      <c r="A9" s="3" t="s">
        <v>130</v>
      </c>
      <c r="B9">
        <v>7</v>
      </c>
    </row>
    <row r="10" spans="1:2" x14ac:dyDescent="0.25">
      <c r="A10" s="3" t="s">
        <v>317</v>
      </c>
      <c r="B10">
        <v>11</v>
      </c>
    </row>
    <row r="11" spans="1:2" x14ac:dyDescent="0.25">
      <c r="A11" s="3" t="s">
        <v>77</v>
      </c>
      <c r="B11">
        <v>10</v>
      </c>
    </row>
    <row r="12" spans="1:2" x14ac:dyDescent="0.25">
      <c r="A12" s="3" t="s">
        <v>190</v>
      </c>
      <c r="B12">
        <v>20</v>
      </c>
    </row>
    <row r="13" spans="1:2" x14ac:dyDescent="0.25">
      <c r="A13" s="3" t="s">
        <v>1193</v>
      </c>
      <c r="B13">
        <v>69</v>
      </c>
    </row>
    <row r="20" spans="7:7" x14ac:dyDescent="0.25">
      <c r="G20" s="7"/>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FA17-9A0B-4A03-AD64-8EB5309C1FB4}">
  <dimension ref="A3:D6"/>
  <sheetViews>
    <sheetView workbookViewId="0">
      <selection activeCell="A10" sqref="A10"/>
    </sheetView>
  </sheetViews>
  <sheetFormatPr defaultRowHeight="15" x14ac:dyDescent="0.25"/>
  <cols>
    <col min="1" max="1" width="36.28515625" bestFit="1" customWidth="1"/>
    <col min="2" max="2" width="16.28515625" bestFit="1" customWidth="1"/>
    <col min="3" max="3" width="5.5703125" bestFit="1" customWidth="1"/>
    <col min="4" max="4" width="11.28515625" bestFit="1" customWidth="1"/>
  </cols>
  <sheetData>
    <row r="3" spans="1:4" x14ac:dyDescent="0.25">
      <c r="A3" s="2" t="s">
        <v>1269</v>
      </c>
      <c r="B3" s="2" t="s">
        <v>1205</v>
      </c>
    </row>
    <row r="4" spans="1:4" x14ac:dyDescent="0.25">
      <c r="A4" s="2" t="s">
        <v>1192</v>
      </c>
      <c r="B4" t="s">
        <v>20</v>
      </c>
      <c r="C4" t="s">
        <v>64</v>
      </c>
      <c r="D4" t="s">
        <v>1193</v>
      </c>
    </row>
    <row r="5" spans="1:4" x14ac:dyDescent="0.25">
      <c r="A5" s="3" t="s">
        <v>150</v>
      </c>
      <c r="B5">
        <v>23</v>
      </c>
      <c r="C5">
        <v>19</v>
      </c>
      <c r="D5">
        <v>42</v>
      </c>
    </row>
    <row r="6" spans="1:4" x14ac:dyDescent="0.25">
      <c r="A6" s="3" t="s">
        <v>1193</v>
      </c>
      <c r="B6">
        <v>23</v>
      </c>
      <c r="C6">
        <v>19</v>
      </c>
      <c r="D6">
        <v>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214E-1DC9-4BE1-A0F6-B74825204B55}">
  <dimension ref="A3:B7"/>
  <sheetViews>
    <sheetView workbookViewId="0">
      <selection activeCell="F21" sqref="F21"/>
    </sheetView>
  </sheetViews>
  <sheetFormatPr defaultRowHeight="15" x14ac:dyDescent="0.25"/>
  <cols>
    <col min="1" max="1" width="13.140625" bestFit="1" customWidth="1"/>
    <col min="2" max="2" width="32.85546875" bestFit="1" customWidth="1"/>
  </cols>
  <sheetData>
    <row r="3" spans="1:2" x14ac:dyDescent="0.25">
      <c r="A3" s="2" t="s">
        <v>1192</v>
      </c>
      <c r="B3" t="s">
        <v>1195</v>
      </c>
    </row>
    <row r="4" spans="1:2" x14ac:dyDescent="0.25">
      <c r="A4" s="3" t="s">
        <v>247</v>
      </c>
      <c r="B4">
        <v>19</v>
      </c>
    </row>
    <row r="5" spans="1:2" x14ac:dyDescent="0.25">
      <c r="A5" s="3" t="s">
        <v>78</v>
      </c>
      <c r="B5">
        <v>13</v>
      </c>
    </row>
    <row r="6" spans="1:2" x14ac:dyDescent="0.25">
      <c r="A6" s="3" t="s">
        <v>67</v>
      </c>
      <c r="B6">
        <v>37</v>
      </c>
    </row>
    <row r="7" spans="1:2" x14ac:dyDescent="0.25">
      <c r="A7" s="3" t="s">
        <v>1193</v>
      </c>
      <c r="B7">
        <v>69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39AB5-9E4F-41E6-AF40-C1074B545BF0}">
  <dimension ref="A3:E14"/>
  <sheetViews>
    <sheetView zoomScaleNormal="100" workbookViewId="0">
      <selection activeCell="B17" sqref="B17"/>
    </sheetView>
  </sheetViews>
  <sheetFormatPr defaultRowHeight="15" x14ac:dyDescent="0.25"/>
  <cols>
    <col min="1" max="1" width="32.85546875" bestFit="1" customWidth="1"/>
    <col min="2" max="2" width="10" bestFit="1" customWidth="1"/>
    <col min="3" max="3" width="10.5703125" bestFit="1" customWidth="1"/>
    <col min="4" max="4" width="7.85546875" bestFit="1" customWidth="1"/>
    <col min="5" max="5" width="11.28515625" bestFit="1" customWidth="1"/>
    <col min="6" max="6" width="8.28515625" bestFit="1" customWidth="1"/>
    <col min="7" max="7" width="10.5703125" bestFit="1" customWidth="1"/>
    <col min="8" max="8" width="7.85546875" bestFit="1" customWidth="1"/>
    <col min="9" max="9" width="10.42578125" bestFit="1" customWidth="1"/>
    <col min="10" max="10" width="11.28515625" bestFit="1" customWidth="1"/>
  </cols>
  <sheetData>
    <row r="3" spans="1:5" x14ac:dyDescent="0.25">
      <c r="A3" s="2" t="s">
        <v>1195</v>
      </c>
      <c r="B3" s="2" t="s">
        <v>16</v>
      </c>
    </row>
    <row r="4" spans="1:5" x14ac:dyDescent="0.25">
      <c r="A4" s="2" t="s">
        <v>1194</v>
      </c>
      <c r="B4" t="s">
        <v>247</v>
      </c>
      <c r="C4" t="s">
        <v>78</v>
      </c>
      <c r="D4" t="s">
        <v>67</v>
      </c>
      <c r="E4" t="s">
        <v>1193</v>
      </c>
    </row>
    <row r="5" spans="1:5" x14ac:dyDescent="0.25">
      <c r="A5" s="3" t="s">
        <v>65</v>
      </c>
      <c r="D5">
        <v>1</v>
      </c>
      <c r="E5">
        <v>1</v>
      </c>
    </row>
    <row r="6" spans="1:5" x14ac:dyDescent="0.25">
      <c r="A6" s="3" t="s">
        <v>409</v>
      </c>
      <c r="D6">
        <v>2</v>
      </c>
      <c r="E6">
        <v>2</v>
      </c>
    </row>
    <row r="7" spans="1:5" x14ac:dyDescent="0.25">
      <c r="A7" s="3" t="s">
        <v>471</v>
      </c>
      <c r="B7">
        <v>1</v>
      </c>
      <c r="C7">
        <v>1</v>
      </c>
      <c r="D7">
        <v>1</v>
      </c>
      <c r="E7">
        <v>3</v>
      </c>
    </row>
    <row r="8" spans="1:5" x14ac:dyDescent="0.25">
      <c r="A8" s="3" t="s">
        <v>228</v>
      </c>
      <c r="B8">
        <v>2</v>
      </c>
      <c r="C8">
        <v>2</v>
      </c>
      <c r="D8">
        <v>2</v>
      </c>
      <c r="E8">
        <v>6</v>
      </c>
    </row>
    <row r="9" spans="1:5" x14ac:dyDescent="0.25">
      <c r="A9" s="3" t="s">
        <v>89</v>
      </c>
      <c r="B9">
        <v>4</v>
      </c>
      <c r="C9">
        <v>1</v>
      </c>
      <c r="D9">
        <v>4</v>
      </c>
      <c r="E9">
        <v>9</v>
      </c>
    </row>
    <row r="10" spans="1:5" x14ac:dyDescent="0.25">
      <c r="A10" s="3" t="s">
        <v>130</v>
      </c>
      <c r="B10">
        <v>1</v>
      </c>
      <c r="C10">
        <v>1</v>
      </c>
      <c r="D10">
        <v>5</v>
      </c>
      <c r="E10">
        <v>7</v>
      </c>
    </row>
    <row r="11" spans="1:5" x14ac:dyDescent="0.25">
      <c r="A11" s="3" t="s">
        <v>317</v>
      </c>
      <c r="B11">
        <v>1</v>
      </c>
      <c r="C11">
        <v>3</v>
      </c>
      <c r="D11">
        <v>7</v>
      </c>
      <c r="E11">
        <v>11</v>
      </c>
    </row>
    <row r="12" spans="1:5" x14ac:dyDescent="0.25">
      <c r="A12" s="3" t="s">
        <v>77</v>
      </c>
      <c r="B12">
        <v>1</v>
      </c>
      <c r="C12">
        <v>3</v>
      </c>
      <c r="D12">
        <v>6</v>
      </c>
      <c r="E12">
        <v>10</v>
      </c>
    </row>
    <row r="13" spans="1:5" x14ac:dyDescent="0.25">
      <c r="A13" s="3" t="s">
        <v>190</v>
      </c>
      <c r="B13">
        <v>9</v>
      </c>
      <c r="C13">
        <v>2</v>
      </c>
      <c r="D13">
        <v>9</v>
      </c>
      <c r="E13">
        <v>20</v>
      </c>
    </row>
    <row r="14" spans="1:5" x14ac:dyDescent="0.25">
      <c r="A14" s="3" t="s">
        <v>1193</v>
      </c>
      <c r="B14">
        <v>19</v>
      </c>
      <c r="C14">
        <v>13</v>
      </c>
      <c r="D14">
        <v>37</v>
      </c>
      <c r="E14">
        <v>69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F571B-A1DE-48F7-966E-8A959940B6A1}">
  <dimension ref="A1:D5"/>
  <sheetViews>
    <sheetView topLeftCell="A9" workbookViewId="0">
      <selection activeCell="M15" sqref="M15"/>
    </sheetView>
  </sheetViews>
  <sheetFormatPr defaultRowHeight="15" x14ac:dyDescent="0.25"/>
  <cols>
    <col min="2" max="2" width="21.42578125" customWidth="1"/>
    <col min="4" max="4" width="14.7109375" customWidth="1"/>
  </cols>
  <sheetData>
    <row r="1" spans="1:4" x14ac:dyDescent="0.25">
      <c r="A1" s="5" t="s">
        <v>1196</v>
      </c>
      <c r="B1" s="5" t="s">
        <v>1197</v>
      </c>
      <c r="C1" s="5" t="s">
        <v>1198</v>
      </c>
      <c r="D1" s="5" t="s">
        <v>1199</v>
      </c>
    </row>
    <row r="2" spans="1:4" x14ac:dyDescent="0.25">
      <c r="A2">
        <v>1</v>
      </c>
      <c r="B2" t="s">
        <v>1202</v>
      </c>
      <c r="C2">
        <v>66</v>
      </c>
      <c r="D2" s="4">
        <v>0.95699999999999996</v>
      </c>
    </row>
    <row r="3" spans="1:4" x14ac:dyDescent="0.25">
      <c r="A3">
        <v>2</v>
      </c>
      <c r="B3" t="s">
        <v>1203</v>
      </c>
      <c r="C3">
        <v>48</v>
      </c>
      <c r="D3" s="4">
        <v>0.69599999999999995</v>
      </c>
    </row>
    <row r="4" spans="1:4" x14ac:dyDescent="0.25">
      <c r="A4">
        <v>3</v>
      </c>
      <c r="B4" t="s">
        <v>1201</v>
      </c>
      <c r="C4">
        <v>46</v>
      </c>
      <c r="D4" s="4">
        <v>0.66700000000000004</v>
      </c>
    </row>
    <row r="5" spans="1:4" x14ac:dyDescent="0.25">
      <c r="A5">
        <v>4</v>
      </c>
      <c r="B5" t="s">
        <v>1204</v>
      </c>
      <c r="C5">
        <v>12</v>
      </c>
      <c r="D5" s="4">
        <v>0.17399999999999999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9D21-E06C-4C80-9135-6EA52D3CCDB9}">
  <dimension ref="A3:E6"/>
  <sheetViews>
    <sheetView workbookViewId="0">
      <selection activeCell="E4" sqref="E4"/>
    </sheetView>
  </sheetViews>
  <sheetFormatPr defaultRowHeight="15" x14ac:dyDescent="0.25"/>
  <cols>
    <col min="1" max="1" width="13.140625" bestFit="1" customWidth="1"/>
    <col min="2" max="2" width="13.28515625" bestFit="1" customWidth="1"/>
    <col min="3" max="3" width="6.85546875" bestFit="1" customWidth="1"/>
    <col min="4" max="4" width="12.85546875" bestFit="1" customWidth="1"/>
    <col min="5" max="5" width="17.7109375" bestFit="1" customWidth="1"/>
    <col min="6" max="6" width="6.85546875" bestFit="1" customWidth="1"/>
    <col min="7" max="7" width="3.85546875" bestFit="1" customWidth="1"/>
    <col min="8" max="8" width="6.85546875" bestFit="1" customWidth="1"/>
    <col min="9" max="9" width="11.28515625" bestFit="1" customWidth="1"/>
    <col min="10" max="10" width="9.140625" bestFit="1" customWidth="1"/>
    <col min="11" max="12" width="12.140625" bestFit="1" customWidth="1"/>
    <col min="13" max="13" width="11.28515625" bestFit="1" customWidth="1"/>
    <col min="14" max="14" width="2" bestFit="1" customWidth="1"/>
    <col min="15" max="17" width="6.85546875" bestFit="1" customWidth="1"/>
    <col min="18" max="18" width="9.140625" bestFit="1" customWidth="1"/>
    <col min="19" max="21" width="12.140625" bestFit="1" customWidth="1"/>
    <col min="22" max="22" width="11.28515625" bestFit="1" customWidth="1"/>
    <col min="23" max="25" width="6.85546875" bestFit="1" customWidth="1"/>
    <col min="27" max="30" width="12.140625" bestFit="1" customWidth="1"/>
    <col min="31" max="31" width="11.28515625" bestFit="1" customWidth="1"/>
  </cols>
  <sheetData>
    <row r="3" spans="1:5" x14ac:dyDescent="0.25">
      <c r="A3" s="2" t="s">
        <v>1192</v>
      </c>
      <c r="B3" t="s">
        <v>1271</v>
      </c>
      <c r="C3" t="s">
        <v>1270</v>
      </c>
      <c r="D3" t="s">
        <v>1272</v>
      </c>
      <c r="E3" t="s">
        <v>1273</v>
      </c>
    </row>
    <row r="4" spans="1:5" x14ac:dyDescent="0.25">
      <c r="A4" s="3" t="s">
        <v>20</v>
      </c>
      <c r="B4">
        <v>33</v>
      </c>
      <c r="C4">
        <v>5</v>
      </c>
      <c r="D4">
        <v>23</v>
      </c>
      <c r="E4">
        <v>23</v>
      </c>
    </row>
    <row r="5" spans="1:5" x14ac:dyDescent="0.25">
      <c r="A5" s="3" t="s">
        <v>64</v>
      </c>
      <c r="B5">
        <v>33</v>
      </c>
      <c r="C5">
        <v>7</v>
      </c>
      <c r="D5">
        <v>23</v>
      </c>
      <c r="E5">
        <v>25</v>
      </c>
    </row>
    <row r="6" spans="1:5" x14ac:dyDescent="0.25">
      <c r="A6" s="3" t="s">
        <v>1193</v>
      </c>
      <c r="B6">
        <v>66</v>
      </c>
      <c r="C6">
        <v>12</v>
      </c>
      <c r="D6">
        <v>46</v>
      </c>
      <c r="E6">
        <v>48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9F378-A09B-4AAF-B44B-6FC79EB648D4}">
  <dimension ref="A3:B6"/>
  <sheetViews>
    <sheetView workbookViewId="0">
      <selection activeCell="I18" sqref="I18"/>
    </sheetView>
  </sheetViews>
  <sheetFormatPr defaultRowHeight="15" x14ac:dyDescent="0.25"/>
  <cols>
    <col min="1" max="1" width="13.140625" bestFit="1" customWidth="1"/>
    <col min="2" max="2" width="18" bestFit="1" customWidth="1"/>
    <col min="3" max="3" width="10.5703125" bestFit="1" customWidth="1"/>
    <col min="4" max="4" width="7.85546875" bestFit="1" customWidth="1"/>
    <col min="5" max="5" width="11.28515625" bestFit="1" customWidth="1"/>
    <col min="6" max="6" width="10.140625" bestFit="1" customWidth="1"/>
    <col min="7" max="7" width="7.28515625" bestFit="1" customWidth="1"/>
    <col min="8" max="8" width="6.5703125" bestFit="1" customWidth="1"/>
    <col min="9" max="9" width="19.140625" bestFit="1" customWidth="1"/>
    <col min="10" max="10" width="8" bestFit="1" customWidth="1"/>
    <col min="11" max="11" width="10.42578125" bestFit="1" customWidth="1"/>
    <col min="12" max="12" width="11.28515625" bestFit="1" customWidth="1"/>
  </cols>
  <sheetData>
    <row r="3" spans="1:2" x14ac:dyDescent="0.25">
      <c r="A3" s="2" t="s">
        <v>1192</v>
      </c>
      <c r="B3" t="s">
        <v>1274</v>
      </c>
    </row>
    <row r="4" spans="1:2" x14ac:dyDescent="0.25">
      <c r="A4" s="3" t="s">
        <v>90</v>
      </c>
      <c r="B4">
        <v>53</v>
      </c>
    </row>
    <row r="5" spans="1:2" x14ac:dyDescent="0.25">
      <c r="A5" s="3" t="s">
        <v>69</v>
      </c>
      <c r="B5">
        <v>16</v>
      </c>
    </row>
    <row r="6" spans="1:2" x14ac:dyDescent="0.25">
      <c r="A6" s="3" t="s">
        <v>1193</v>
      </c>
      <c r="B6">
        <v>69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BDB20-757B-4AA7-9013-C094DEB5BFC6}">
  <dimension ref="A3:D6"/>
  <sheetViews>
    <sheetView workbookViewId="0">
      <selection activeCell="H11" sqref="H11"/>
    </sheetView>
  </sheetViews>
  <sheetFormatPr defaultRowHeight="15" x14ac:dyDescent="0.25"/>
  <cols>
    <col min="1" max="1" width="31" bestFit="1" customWidth="1"/>
    <col min="2" max="2" width="16.28515625" bestFit="1" customWidth="1"/>
    <col min="3" max="3" width="5.5703125" bestFit="1" customWidth="1"/>
    <col min="4" max="4" width="11.28515625" bestFit="1" customWidth="1"/>
  </cols>
  <sheetData>
    <row r="3" spans="1:4" x14ac:dyDescent="0.25">
      <c r="A3" s="2" t="s">
        <v>1304</v>
      </c>
      <c r="B3" s="2" t="s">
        <v>1205</v>
      </c>
    </row>
    <row r="4" spans="1:4" x14ac:dyDescent="0.25">
      <c r="A4" s="2" t="s">
        <v>1192</v>
      </c>
      <c r="B4" t="s">
        <v>20</v>
      </c>
      <c r="C4" t="s">
        <v>64</v>
      </c>
      <c r="D4" t="s">
        <v>1193</v>
      </c>
    </row>
    <row r="5" spans="1:4" x14ac:dyDescent="0.25">
      <c r="A5" s="3" t="s">
        <v>69</v>
      </c>
      <c r="B5">
        <v>9</v>
      </c>
      <c r="C5">
        <v>7</v>
      </c>
      <c r="D5">
        <v>16</v>
      </c>
    </row>
    <row r="6" spans="1:4" x14ac:dyDescent="0.25">
      <c r="A6" s="3" t="s">
        <v>1193</v>
      </c>
      <c r="B6">
        <v>9</v>
      </c>
      <c r="C6">
        <v>7</v>
      </c>
      <c r="D6">
        <v>16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DC9C6-A738-4E05-8960-5E780E851690}">
  <dimension ref="A3:D6"/>
  <sheetViews>
    <sheetView workbookViewId="0">
      <selection activeCell="G6" sqref="G6"/>
    </sheetView>
  </sheetViews>
  <sheetFormatPr defaultRowHeight="15" x14ac:dyDescent="0.25"/>
  <cols>
    <col min="1" max="1" width="31" bestFit="1" customWidth="1"/>
    <col min="2" max="2" width="16.28515625" bestFit="1" customWidth="1"/>
    <col min="3" max="3" width="7.140625" bestFit="1" customWidth="1"/>
    <col min="4" max="4" width="11.28515625" bestFit="1" customWidth="1"/>
  </cols>
  <sheetData>
    <row r="3" spans="1:4" x14ac:dyDescent="0.25">
      <c r="A3" s="2" t="s">
        <v>1304</v>
      </c>
      <c r="B3" s="2" t="s">
        <v>1205</v>
      </c>
    </row>
    <row r="4" spans="1:4" x14ac:dyDescent="0.25">
      <c r="A4" s="2" t="s">
        <v>1192</v>
      </c>
      <c r="B4" t="s">
        <v>20</v>
      </c>
      <c r="C4" t="s">
        <v>64</v>
      </c>
      <c r="D4" t="s">
        <v>1193</v>
      </c>
    </row>
    <row r="5" spans="1:4" x14ac:dyDescent="0.25">
      <c r="A5" s="3" t="s">
        <v>90</v>
      </c>
      <c r="B5" s="4">
        <v>0.49056603773584906</v>
      </c>
      <c r="C5" s="4">
        <v>0.50943396226415094</v>
      </c>
      <c r="D5" s="4">
        <v>1</v>
      </c>
    </row>
    <row r="6" spans="1:4" x14ac:dyDescent="0.25">
      <c r="A6" s="3" t="s">
        <v>1193</v>
      </c>
      <c r="B6" s="4">
        <v>0.49056603773584906</v>
      </c>
      <c r="C6" s="4">
        <v>0.50943396226415094</v>
      </c>
      <c r="D6" s="4">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7C645-66FA-43DF-88CE-8FF5B936F06F}">
  <dimension ref="A3:E6"/>
  <sheetViews>
    <sheetView workbookViewId="0">
      <selection activeCell="G16" sqref="G16"/>
    </sheetView>
  </sheetViews>
  <sheetFormatPr defaultRowHeight="15" x14ac:dyDescent="0.25"/>
  <cols>
    <col min="1" max="1" width="31" bestFit="1" customWidth="1"/>
    <col min="2" max="2" width="16.28515625" bestFit="1" customWidth="1"/>
    <col min="3" max="3" width="10.5703125" bestFit="1" customWidth="1"/>
    <col min="4" max="4" width="7.85546875" bestFit="1" customWidth="1"/>
    <col min="5" max="5" width="11.28515625" bestFit="1" customWidth="1"/>
  </cols>
  <sheetData>
    <row r="3" spans="1:5" x14ac:dyDescent="0.25">
      <c r="A3" s="2" t="s">
        <v>1304</v>
      </c>
      <c r="B3" s="2" t="s">
        <v>1205</v>
      </c>
    </row>
    <row r="4" spans="1:5" x14ac:dyDescent="0.25">
      <c r="A4" s="2" t="s">
        <v>1192</v>
      </c>
      <c r="B4" t="s">
        <v>247</v>
      </c>
      <c r="C4" t="s">
        <v>78</v>
      </c>
      <c r="D4" t="s">
        <v>67</v>
      </c>
      <c r="E4" t="s">
        <v>1193</v>
      </c>
    </row>
    <row r="5" spans="1:5" x14ac:dyDescent="0.25">
      <c r="A5" s="3" t="s">
        <v>69</v>
      </c>
      <c r="B5">
        <v>1</v>
      </c>
      <c r="C5">
        <v>3</v>
      </c>
      <c r="D5">
        <v>12</v>
      </c>
      <c r="E5">
        <v>16</v>
      </c>
    </row>
    <row r="6" spans="1:5" x14ac:dyDescent="0.25">
      <c r="A6" s="3" t="s">
        <v>1193</v>
      </c>
      <c r="B6">
        <v>1</v>
      </c>
      <c r="C6">
        <v>3</v>
      </c>
      <c r="D6">
        <v>12</v>
      </c>
      <c r="E6">
        <v>16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FC53F-8FA8-4D18-B0E4-CB1709DA8942}">
  <dimension ref="A3:E6"/>
  <sheetViews>
    <sheetView workbookViewId="0">
      <selection activeCell="G17" sqref="G17"/>
    </sheetView>
  </sheetViews>
  <sheetFormatPr defaultRowHeight="15" x14ac:dyDescent="0.25"/>
  <cols>
    <col min="1" max="1" width="31" bestFit="1" customWidth="1"/>
    <col min="2" max="2" width="16.28515625" bestFit="1" customWidth="1"/>
    <col min="3" max="3" width="10.5703125" bestFit="1" customWidth="1"/>
    <col min="4" max="4" width="7.85546875" bestFit="1" customWidth="1"/>
    <col min="5" max="5" width="11.28515625" bestFit="1" customWidth="1"/>
  </cols>
  <sheetData>
    <row r="3" spans="1:5" x14ac:dyDescent="0.25">
      <c r="A3" s="2" t="s">
        <v>1304</v>
      </c>
      <c r="B3" s="2" t="s">
        <v>1205</v>
      </c>
    </row>
    <row r="4" spans="1:5" x14ac:dyDescent="0.25">
      <c r="A4" s="2" t="s">
        <v>1192</v>
      </c>
      <c r="B4" t="s">
        <v>247</v>
      </c>
      <c r="C4" t="s">
        <v>78</v>
      </c>
      <c r="D4" t="s">
        <v>67</v>
      </c>
      <c r="E4" t="s">
        <v>1193</v>
      </c>
    </row>
    <row r="5" spans="1:5" x14ac:dyDescent="0.25">
      <c r="A5" s="3" t="s">
        <v>90</v>
      </c>
      <c r="B5">
        <v>18</v>
      </c>
      <c r="C5">
        <v>10</v>
      </c>
      <c r="D5">
        <v>25</v>
      </c>
      <c r="E5">
        <v>53</v>
      </c>
    </row>
    <row r="6" spans="1:5" x14ac:dyDescent="0.25">
      <c r="A6" s="3" t="s">
        <v>1193</v>
      </c>
      <c r="B6">
        <v>18</v>
      </c>
      <c r="C6">
        <v>10</v>
      </c>
      <c r="D6">
        <v>25</v>
      </c>
      <c r="E6">
        <v>53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E0F65-70E5-4608-A24D-05D51BC10410}">
  <dimension ref="A3:B6"/>
  <sheetViews>
    <sheetView workbookViewId="0">
      <selection activeCell="F10" sqref="F10"/>
    </sheetView>
  </sheetViews>
  <sheetFormatPr defaultRowHeight="15" x14ac:dyDescent="0.25"/>
  <cols>
    <col min="1" max="1" width="13.140625" bestFit="1" customWidth="1"/>
    <col min="2" max="2" width="44.140625" bestFit="1" customWidth="1"/>
    <col min="3" max="3" width="5.5703125" bestFit="1" customWidth="1"/>
    <col min="4" max="5" width="11.28515625" bestFit="1" customWidth="1"/>
  </cols>
  <sheetData>
    <row r="3" spans="1:2" x14ac:dyDescent="0.25">
      <c r="A3" s="2" t="s">
        <v>1192</v>
      </c>
      <c r="B3" t="s">
        <v>1275</v>
      </c>
    </row>
    <row r="4" spans="1:2" x14ac:dyDescent="0.25">
      <c r="A4" s="3" t="s">
        <v>82</v>
      </c>
      <c r="B4">
        <v>6</v>
      </c>
    </row>
    <row r="5" spans="1:2" x14ac:dyDescent="0.25">
      <c r="A5" s="3" t="s">
        <v>70</v>
      </c>
      <c r="B5">
        <v>63</v>
      </c>
    </row>
    <row r="6" spans="1:2" x14ac:dyDescent="0.25">
      <c r="A6" s="3" t="s">
        <v>1193</v>
      </c>
      <c r="B6">
        <v>69</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9DFEA-A36A-470F-BC0F-01A0E6448871}">
  <dimension ref="A3:C7"/>
  <sheetViews>
    <sheetView zoomScale="85" zoomScaleNormal="196" workbookViewId="0">
      <selection activeCell="C27" sqref="C27"/>
    </sheetView>
  </sheetViews>
  <sheetFormatPr defaultRowHeight="15" x14ac:dyDescent="0.25"/>
  <cols>
    <col min="1" max="1" width="59.28515625" bestFit="1" customWidth="1"/>
    <col min="2" max="2" width="16.28515625" bestFit="1" customWidth="1"/>
    <col min="3" max="3" width="11.28515625" bestFit="1" customWidth="1"/>
    <col min="4" max="4" width="12.5703125" bestFit="1" customWidth="1"/>
    <col min="5" max="5" width="13.5703125" bestFit="1" customWidth="1"/>
    <col min="6" max="6" width="11.85546875" bestFit="1" customWidth="1"/>
    <col min="7" max="7" width="26.85546875" bestFit="1" customWidth="1"/>
    <col min="8" max="8" width="6.42578125" bestFit="1" customWidth="1"/>
    <col min="9" max="9" width="7.28515625" bestFit="1" customWidth="1"/>
    <col min="10" max="10" width="6.28515625" bestFit="1" customWidth="1"/>
    <col min="11" max="11" width="6.5703125" bestFit="1" customWidth="1"/>
    <col min="12" max="12" width="19.140625" bestFit="1" customWidth="1"/>
    <col min="13" max="13" width="8" bestFit="1" customWidth="1"/>
    <col min="14" max="14" width="10.42578125" bestFit="1" customWidth="1"/>
    <col min="15" max="15" width="11.28515625" bestFit="1" customWidth="1"/>
  </cols>
  <sheetData>
    <row r="3" spans="1:3" x14ac:dyDescent="0.25">
      <c r="A3" s="2" t="s">
        <v>1207</v>
      </c>
      <c r="B3" s="2" t="s">
        <v>1205</v>
      </c>
    </row>
    <row r="4" spans="1:3" x14ac:dyDescent="0.25">
      <c r="A4" s="2" t="s">
        <v>1206</v>
      </c>
      <c r="B4" t="s">
        <v>150</v>
      </c>
      <c r="C4" t="s">
        <v>1193</v>
      </c>
    </row>
    <row r="5" spans="1:3" x14ac:dyDescent="0.25">
      <c r="A5" s="3" t="s">
        <v>82</v>
      </c>
      <c r="B5">
        <v>3</v>
      </c>
      <c r="C5">
        <v>3</v>
      </c>
    </row>
    <row r="6" spans="1:3" x14ac:dyDescent="0.25">
      <c r="A6" s="3" t="s">
        <v>70</v>
      </c>
      <c r="B6">
        <v>39</v>
      </c>
      <c r="C6">
        <v>39</v>
      </c>
    </row>
    <row r="7" spans="1:3" x14ac:dyDescent="0.25">
      <c r="A7" s="3" t="s">
        <v>1193</v>
      </c>
      <c r="B7">
        <v>42</v>
      </c>
      <c r="C7">
        <v>42</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43052-9EF5-4AE7-A2B3-DF1DCC687F5B}">
  <dimension ref="A3:E4"/>
  <sheetViews>
    <sheetView topLeftCell="C1" workbookViewId="0">
      <selection activeCell="C16" sqref="C16"/>
    </sheetView>
  </sheetViews>
  <sheetFormatPr defaultRowHeight="15" x14ac:dyDescent="0.25"/>
  <cols>
    <col min="1" max="1" width="17.7109375" bestFit="1" customWidth="1"/>
    <col min="2" max="2" width="12.7109375" bestFit="1" customWidth="1"/>
    <col min="3" max="3" width="13.7109375" bestFit="1" customWidth="1"/>
    <col min="4" max="4" width="14.85546875" bestFit="1" customWidth="1"/>
    <col min="5" max="6" width="12.85546875" bestFit="1" customWidth="1"/>
  </cols>
  <sheetData>
    <row r="3" spans="1:5" x14ac:dyDescent="0.25">
      <c r="A3" t="s">
        <v>1273</v>
      </c>
      <c r="B3" t="s">
        <v>1276</v>
      </c>
      <c r="C3" t="s">
        <v>1277</v>
      </c>
      <c r="D3" t="s">
        <v>1278</v>
      </c>
      <c r="E3" t="s">
        <v>1279</v>
      </c>
    </row>
    <row r="4" spans="1:5" x14ac:dyDescent="0.25">
      <c r="A4">
        <v>53</v>
      </c>
      <c r="B4">
        <v>7</v>
      </c>
      <c r="C4">
        <v>63</v>
      </c>
      <c r="D4">
        <v>13</v>
      </c>
      <c r="E4">
        <v>31</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E95A0-CD54-4DC5-A787-210697EA1CFB}">
  <dimension ref="A3:F6"/>
  <sheetViews>
    <sheetView topLeftCell="A2" workbookViewId="0">
      <selection activeCell="E15" sqref="E15"/>
    </sheetView>
  </sheetViews>
  <sheetFormatPr defaultRowHeight="15" x14ac:dyDescent="0.25"/>
  <cols>
    <col min="1" max="1" width="13.140625" bestFit="1" customWidth="1"/>
    <col min="2" max="2" width="19.28515625" bestFit="1" customWidth="1"/>
    <col min="3" max="3" width="19.7109375" bestFit="1" customWidth="1"/>
    <col min="4" max="4" width="24.140625" bestFit="1" customWidth="1"/>
    <col min="5" max="5" width="19" bestFit="1" customWidth="1"/>
    <col min="6" max="6" width="20.85546875" bestFit="1" customWidth="1"/>
  </cols>
  <sheetData>
    <row r="3" spans="1:6" x14ac:dyDescent="0.25">
      <c r="A3" s="2" t="s">
        <v>1192</v>
      </c>
      <c r="B3" t="s">
        <v>1280</v>
      </c>
      <c r="C3" t="s">
        <v>1281</v>
      </c>
      <c r="D3" t="s">
        <v>1282</v>
      </c>
      <c r="E3" t="s">
        <v>1283</v>
      </c>
      <c r="F3" t="s">
        <v>1284</v>
      </c>
    </row>
    <row r="4" spans="1:6" x14ac:dyDescent="0.25">
      <c r="A4" s="3" t="s">
        <v>20</v>
      </c>
      <c r="B4">
        <v>5</v>
      </c>
      <c r="C4">
        <v>32</v>
      </c>
      <c r="D4">
        <v>27</v>
      </c>
      <c r="E4">
        <v>14</v>
      </c>
      <c r="F4">
        <v>7</v>
      </c>
    </row>
    <row r="5" spans="1:6" x14ac:dyDescent="0.25">
      <c r="A5" s="3" t="s">
        <v>64</v>
      </c>
      <c r="B5">
        <v>2</v>
      </c>
      <c r="C5">
        <v>31</v>
      </c>
      <c r="D5">
        <v>26</v>
      </c>
      <c r="E5">
        <v>17</v>
      </c>
      <c r="F5">
        <v>6</v>
      </c>
    </row>
    <row r="6" spans="1:6" x14ac:dyDescent="0.25">
      <c r="A6" s="3" t="s">
        <v>1193</v>
      </c>
      <c r="B6">
        <v>7</v>
      </c>
      <c r="C6">
        <v>63</v>
      </c>
      <c r="D6">
        <v>53</v>
      </c>
      <c r="E6">
        <v>31</v>
      </c>
      <c r="F6">
        <v>13</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11FF0-ED1D-42CA-AAAA-0FE24D7C969F}">
  <dimension ref="A3:E4"/>
  <sheetViews>
    <sheetView workbookViewId="0">
      <selection activeCell="I17" sqref="I17"/>
    </sheetView>
  </sheetViews>
  <sheetFormatPr defaultRowHeight="15" x14ac:dyDescent="0.25"/>
  <cols>
    <col min="1" max="1" width="6.5703125" bestFit="1" customWidth="1"/>
    <col min="2" max="2" width="7.7109375" bestFit="1" customWidth="1"/>
    <col min="3" max="3" width="11.28515625" bestFit="1" customWidth="1"/>
    <col min="4" max="4" width="6" bestFit="1" customWidth="1"/>
    <col min="5" max="6" width="13.42578125" bestFit="1" customWidth="1"/>
  </cols>
  <sheetData>
    <row r="3" spans="1:5" x14ac:dyDescent="0.25">
      <c r="A3" t="s">
        <v>1286</v>
      </c>
      <c r="B3" t="s">
        <v>1287</v>
      </c>
      <c r="C3" t="s">
        <v>1288</v>
      </c>
      <c r="D3" t="s">
        <v>1289</v>
      </c>
      <c r="E3" t="s">
        <v>1290</v>
      </c>
    </row>
    <row r="4" spans="1:5" x14ac:dyDescent="0.25">
      <c r="A4">
        <v>68</v>
      </c>
      <c r="B4">
        <v>1</v>
      </c>
      <c r="C4">
        <v>15</v>
      </c>
      <c r="D4">
        <v>2</v>
      </c>
      <c r="E4">
        <v>60</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E138-6627-400D-93B3-456E5D1E4576}">
  <dimension ref="A3:F6"/>
  <sheetViews>
    <sheetView workbookViewId="0">
      <selection activeCell="F5" sqref="F5"/>
    </sheetView>
  </sheetViews>
  <sheetFormatPr defaultRowHeight="15" x14ac:dyDescent="0.25"/>
  <cols>
    <col min="1" max="1" width="13.140625" bestFit="1" customWidth="1"/>
    <col min="2" max="2" width="6.42578125" bestFit="1" customWidth="1"/>
    <col min="3" max="3" width="13.28515625" bestFit="1" customWidth="1"/>
    <col min="4" max="4" width="5.85546875" bestFit="1" customWidth="1"/>
    <col min="5" max="5" width="7.5703125" bestFit="1" customWidth="1"/>
    <col min="6" max="6" width="11.140625" bestFit="1" customWidth="1"/>
  </cols>
  <sheetData>
    <row r="3" spans="1:6" x14ac:dyDescent="0.25">
      <c r="A3" s="2" t="s">
        <v>1192</v>
      </c>
      <c r="B3" t="s">
        <v>1291</v>
      </c>
      <c r="C3" t="s">
        <v>1292</v>
      </c>
      <c r="D3" t="s">
        <v>1293</v>
      </c>
      <c r="E3" t="s">
        <v>1294</v>
      </c>
      <c r="F3" t="s">
        <v>1295</v>
      </c>
    </row>
    <row r="4" spans="1:6" x14ac:dyDescent="0.25">
      <c r="A4" s="3" t="s">
        <v>20</v>
      </c>
      <c r="B4">
        <v>34</v>
      </c>
      <c r="C4">
        <v>29</v>
      </c>
      <c r="D4">
        <v>1</v>
      </c>
      <c r="E4">
        <v>0</v>
      </c>
      <c r="F4">
        <v>7</v>
      </c>
    </row>
    <row r="5" spans="1:6" x14ac:dyDescent="0.25">
      <c r="A5" s="3" t="s">
        <v>64</v>
      </c>
      <c r="B5">
        <v>34</v>
      </c>
      <c r="C5">
        <v>31</v>
      </c>
      <c r="D5">
        <v>1</v>
      </c>
      <c r="E5">
        <v>1</v>
      </c>
      <c r="F5">
        <v>8</v>
      </c>
    </row>
    <row r="6" spans="1:6" x14ac:dyDescent="0.25">
      <c r="A6" s="3" t="s">
        <v>1193</v>
      </c>
      <c r="B6">
        <v>68</v>
      </c>
      <c r="C6">
        <v>60</v>
      </c>
      <c r="D6">
        <v>2</v>
      </c>
      <c r="E6">
        <v>1</v>
      </c>
      <c r="F6">
        <v>15</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2BC1D-CFCD-4469-8D6A-0B82777EC461}">
  <dimension ref="A3:F7"/>
  <sheetViews>
    <sheetView workbookViewId="0">
      <selection activeCell="G20" sqref="G20"/>
    </sheetView>
  </sheetViews>
  <sheetFormatPr defaultRowHeight="15" x14ac:dyDescent="0.25"/>
  <cols>
    <col min="1" max="1" width="13.140625" bestFit="1" customWidth="1"/>
    <col min="2" max="2" width="6.85546875" bestFit="1" customWidth="1"/>
    <col min="3" max="3" width="11.5703125" bestFit="1" customWidth="1"/>
    <col min="4" max="4" width="6.28515625" bestFit="1" customWidth="1"/>
    <col min="5" max="5" width="13.7109375" bestFit="1" customWidth="1"/>
    <col min="6" max="6" width="13.85546875" bestFit="1" customWidth="1"/>
  </cols>
  <sheetData>
    <row r="3" spans="1:6" x14ac:dyDescent="0.25">
      <c r="A3" s="2" t="s">
        <v>1192</v>
      </c>
      <c r="B3" t="s">
        <v>1296</v>
      </c>
      <c r="C3" t="s">
        <v>1297</v>
      </c>
      <c r="D3" t="s">
        <v>1298</v>
      </c>
      <c r="E3" t="s">
        <v>1299</v>
      </c>
      <c r="F3" t="s">
        <v>1285</v>
      </c>
    </row>
    <row r="4" spans="1:6" x14ac:dyDescent="0.25">
      <c r="A4" s="3" t="s">
        <v>247</v>
      </c>
      <c r="B4">
        <v>19</v>
      </c>
      <c r="C4">
        <v>3</v>
      </c>
      <c r="D4">
        <v>0</v>
      </c>
      <c r="E4">
        <v>17</v>
      </c>
      <c r="F4">
        <v>0</v>
      </c>
    </row>
    <row r="5" spans="1:6" x14ac:dyDescent="0.25">
      <c r="A5" s="3" t="s">
        <v>78</v>
      </c>
      <c r="B5">
        <v>13</v>
      </c>
      <c r="C5">
        <v>2</v>
      </c>
      <c r="D5">
        <v>1</v>
      </c>
      <c r="E5">
        <v>11</v>
      </c>
      <c r="F5">
        <v>0</v>
      </c>
    </row>
    <row r="6" spans="1:6" x14ac:dyDescent="0.25">
      <c r="A6" s="3" t="s">
        <v>67</v>
      </c>
      <c r="B6">
        <v>36</v>
      </c>
      <c r="C6">
        <v>10</v>
      </c>
      <c r="D6">
        <v>1</v>
      </c>
      <c r="E6">
        <v>32</v>
      </c>
      <c r="F6">
        <v>1</v>
      </c>
    </row>
    <row r="7" spans="1:6" x14ac:dyDescent="0.25">
      <c r="A7" s="3" t="s">
        <v>1193</v>
      </c>
      <c r="B7">
        <v>68</v>
      </c>
      <c r="C7">
        <v>15</v>
      </c>
      <c r="D7">
        <v>2</v>
      </c>
      <c r="E7">
        <v>60</v>
      </c>
      <c r="F7">
        <v>1</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0AE1-1D99-4493-B577-C2F22B27CBF7}">
  <dimension ref="A3:E5"/>
  <sheetViews>
    <sheetView workbookViewId="0">
      <selection activeCell="H14" sqref="H14"/>
    </sheetView>
  </sheetViews>
  <sheetFormatPr defaultRowHeight="15" x14ac:dyDescent="0.25"/>
  <cols>
    <col min="1" max="1" width="13.140625" bestFit="1" customWidth="1"/>
    <col min="2" max="2" width="6.85546875" bestFit="1" customWidth="1"/>
    <col min="3" max="3" width="6.28515625" bestFit="1" customWidth="1"/>
    <col min="4" max="4" width="13.7109375" bestFit="1" customWidth="1"/>
    <col min="5" max="6" width="17.42578125" bestFit="1" customWidth="1"/>
  </cols>
  <sheetData>
    <row r="3" spans="1:5" x14ac:dyDescent="0.25">
      <c r="A3" s="2" t="s">
        <v>1192</v>
      </c>
      <c r="B3" t="s">
        <v>1300</v>
      </c>
      <c r="C3" t="s">
        <v>1302</v>
      </c>
      <c r="D3" t="s">
        <v>1303</v>
      </c>
      <c r="E3" t="s">
        <v>1301</v>
      </c>
    </row>
    <row r="4" spans="1:5" x14ac:dyDescent="0.25">
      <c r="A4" s="3" t="s">
        <v>150</v>
      </c>
      <c r="B4">
        <v>42</v>
      </c>
      <c r="C4">
        <v>2</v>
      </c>
      <c r="D4">
        <v>38</v>
      </c>
      <c r="E4">
        <v>10</v>
      </c>
    </row>
    <row r="5" spans="1:5" x14ac:dyDescent="0.25">
      <c r="A5" s="3" t="s">
        <v>1193</v>
      </c>
      <c r="B5">
        <v>42</v>
      </c>
      <c r="C5">
        <v>2</v>
      </c>
      <c r="D5">
        <v>38</v>
      </c>
      <c r="E5">
        <v>10</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FD66E-B5EC-4079-9D29-CEF91E05BD07}">
  <dimension ref="A3:B33"/>
  <sheetViews>
    <sheetView workbookViewId="0">
      <selection activeCell="E4" sqref="E4"/>
    </sheetView>
  </sheetViews>
  <sheetFormatPr defaultRowHeight="15" x14ac:dyDescent="0.25"/>
  <cols>
    <col min="1" max="1" width="27.7109375" bestFit="1" customWidth="1"/>
    <col min="2" max="2" width="16" bestFit="1" customWidth="1"/>
  </cols>
  <sheetData>
    <row r="3" spans="1:2" x14ac:dyDescent="0.25">
      <c r="A3" s="2" t="s">
        <v>1192</v>
      </c>
      <c r="B3" t="s">
        <v>1259</v>
      </c>
    </row>
    <row r="4" spans="1:2" x14ac:dyDescent="0.25">
      <c r="A4" s="3" t="s">
        <v>98</v>
      </c>
      <c r="B4">
        <v>68</v>
      </c>
    </row>
    <row r="5" spans="1:2" x14ac:dyDescent="0.25">
      <c r="A5" s="3" t="s">
        <v>1228</v>
      </c>
      <c r="B5">
        <v>67</v>
      </c>
    </row>
    <row r="6" spans="1:2" x14ac:dyDescent="0.25">
      <c r="A6" s="3" t="s">
        <v>1226</v>
      </c>
      <c r="B6">
        <v>65</v>
      </c>
    </row>
    <row r="7" spans="1:2" x14ac:dyDescent="0.25">
      <c r="A7" s="3" t="s">
        <v>1229</v>
      </c>
      <c r="B7">
        <v>59</v>
      </c>
    </row>
    <row r="8" spans="1:2" x14ac:dyDescent="0.25">
      <c r="A8" s="3" t="s">
        <v>1225</v>
      </c>
      <c r="B8">
        <v>58</v>
      </c>
    </row>
    <row r="9" spans="1:2" x14ac:dyDescent="0.25">
      <c r="A9" s="3" t="s">
        <v>1105</v>
      </c>
      <c r="B9">
        <v>51</v>
      </c>
    </row>
    <row r="10" spans="1:2" x14ac:dyDescent="0.25">
      <c r="A10" s="3" t="s">
        <v>236</v>
      </c>
      <c r="B10">
        <v>49</v>
      </c>
    </row>
    <row r="11" spans="1:2" x14ac:dyDescent="0.25">
      <c r="A11" s="3" t="s">
        <v>199</v>
      </c>
      <c r="B11">
        <v>46</v>
      </c>
    </row>
    <row r="12" spans="1:2" x14ac:dyDescent="0.25">
      <c r="A12" s="3" t="s">
        <v>1235</v>
      </c>
      <c r="B12">
        <v>45</v>
      </c>
    </row>
    <row r="13" spans="1:2" x14ac:dyDescent="0.25">
      <c r="A13" s="3" t="s">
        <v>1244</v>
      </c>
      <c r="B13">
        <v>39</v>
      </c>
    </row>
    <row r="14" spans="1:2" x14ac:dyDescent="0.25">
      <c r="A14" s="3" t="s">
        <v>1237</v>
      </c>
      <c r="B14">
        <v>22</v>
      </c>
    </row>
    <row r="15" spans="1:2" x14ac:dyDescent="0.25">
      <c r="A15" s="3" t="s">
        <v>96</v>
      </c>
      <c r="B15">
        <v>21</v>
      </c>
    </row>
    <row r="16" spans="1:2" x14ac:dyDescent="0.25">
      <c r="A16" s="3" t="s">
        <v>749</v>
      </c>
      <c r="B16">
        <v>20</v>
      </c>
    </row>
    <row r="17" spans="1:2" x14ac:dyDescent="0.25">
      <c r="A17" s="3" t="s">
        <v>178</v>
      </c>
      <c r="B17">
        <v>17</v>
      </c>
    </row>
    <row r="18" spans="1:2" x14ac:dyDescent="0.25">
      <c r="A18" s="3" t="s">
        <v>1230</v>
      </c>
      <c r="B18">
        <v>12</v>
      </c>
    </row>
    <row r="19" spans="1:2" x14ac:dyDescent="0.25">
      <c r="A19" s="3" t="s">
        <v>1227</v>
      </c>
      <c r="B19">
        <v>11</v>
      </c>
    </row>
    <row r="20" spans="1:2" x14ac:dyDescent="0.25">
      <c r="A20" s="3" t="s">
        <v>1236</v>
      </c>
      <c r="B20">
        <v>7</v>
      </c>
    </row>
    <row r="21" spans="1:2" x14ac:dyDescent="0.25">
      <c r="A21" s="3" t="s">
        <v>1241</v>
      </c>
      <c r="B21">
        <v>4</v>
      </c>
    </row>
    <row r="22" spans="1:2" x14ac:dyDescent="0.25">
      <c r="A22" s="3" t="s">
        <v>521</v>
      </c>
      <c r="B22">
        <v>3</v>
      </c>
    </row>
    <row r="23" spans="1:2" x14ac:dyDescent="0.25">
      <c r="A23" s="3" t="s">
        <v>1232</v>
      </c>
      <c r="B23">
        <v>2</v>
      </c>
    </row>
    <row r="24" spans="1:2" x14ac:dyDescent="0.25">
      <c r="A24" s="3" t="s">
        <v>1242</v>
      </c>
      <c r="B24">
        <v>2</v>
      </c>
    </row>
    <row r="25" spans="1:2" x14ac:dyDescent="0.25">
      <c r="A25" s="3" t="s">
        <v>1239</v>
      </c>
      <c r="B25">
        <v>0</v>
      </c>
    </row>
    <row r="26" spans="1:2" x14ac:dyDescent="0.25">
      <c r="A26" s="3" t="s">
        <v>1240</v>
      </c>
      <c r="B26">
        <v>0</v>
      </c>
    </row>
    <row r="27" spans="1:2" x14ac:dyDescent="0.25">
      <c r="A27" s="3" t="s">
        <v>1234</v>
      </c>
      <c r="B27">
        <v>0</v>
      </c>
    </row>
    <row r="28" spans="1:2" x14ac:dyDescent="0.25">
      <c r="A28" s="3" t="s">
        <v>1233</v>
      </c>
      <c r="B28">
        <v>0</v>
      </c>
    </row>
    <row r="29" spans="1:2" x14ac:dyDescent="0.25">
      <c r="A29" s="3" t="s">
        <v>1245</v>
      </c>
      <c r="B29">
        <v>0</v>
      </c>
    </row>
    <row r="30" spans="1:2" x14ac:dyDescent="0.25">
      <c r="A30" s="3" t="s">
        <v>1243</v>
      </c>
      <c r="B30">
        <v>0</v>
      </c>
    </row>
    <row r="31" spans="1:2" x14ac:dyDescent="0.25">
      <c r="A31" s="3" t="s">
        <v>1238</v>
      </c>
      <c r="B31">
        <v>0</v>
      </c>
    </row>
    <row r="32" spans="1:2" x14ac:dyDescent="0.25">
      <c r="A32" s="3" t="s">
        <v>1231</v>
      </c>
      <c r="B32">
        <v>0</v>
      </c>
    </row>
    <row r="33" spans="1:2" x14ac:dyDescent="0.25">
      <c r="A33" s="3" t="s">
        <v>1193</v>
      </c>
      <c r="B33">
        <v>668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D687F-BD48-4A11-A559-36F14F7B270D}">
  <dimension ref="A1:B30"/>
  <sheetViews>
    <sheetView workbookViewId="0">
      <selection activeCell="B37" sqref="B37"/>
    </sheetView>
  </sheetViews>
  <sheetFormatPr defaultRowHeight="15" x14ac:dyDescent="0.25"/>
  <cols>
    <col min="1" max="1" width="29.85546875" customWidth="1"/>
    <col min="2" max="2" width="14.140625" customWidth="1"/>
  </cols>
  <sheetData>
    <row r="1" spans="1:2" x14ac:dyDescent="0.25">
      <c r="A1" s="5" t="s">
        <v>1260</v>
      </c>
      <c r="B1" s="5" t="s">
        <v>1258</v>
      </c>
    </row>
    <row r="2" spans="1:2" x14ac:dyDescent="0.25">
      <c r="A2" t="s">
        <v>98</v>
      </c>
      <c r="B2">
        <v>68</v>
      </c>
    </row>
    <row r="3" spans="1:2" x14ac:dyDescent="0.25">
      <c r="A3" t="s">
        <v>1228</v>
      </c>
      <c r="B3">
        <v>67</v>
      </c>
    </row>
    <row r="4" spans="1:2" x14ac:dyDescent="0.25">
      <c r="A4" t="s">
        <v>1226</v>
      </c>
      <c r="B4">
        <v>65</v>
      </c>
    </row>
    <row r="5" spans="1:2" x14ac:dyDescent="0.25">
      <c r="A5" t="s">
        <v>1229</v>
      </c>
      <c r="B5">
        <v>59</v>
      </c>
    </row>
    <row r="6" spans="1:2" x14ac:dyDescent="0.25">
      <c r="A6" t="s">
        <v>1225</v>
      </c>
      <c r="B6">
        <v>58</v>
      </c>
    </row>
    <row r="7" spans="1:2" x14ac:dyDescent="0.25">
      <c r="A7" t="s">
        <v>1105</v>
      </c>
      <c r="B7">
        <v>51</v>
      </c>
    </row>
    <row r="8" spans="1:2" x14ac:dyDescent="0.25">
      <c r="A8" t="s">
        <v>236</v>
      </c>
      <c r="B8">
        <v>49</v>
      </c>
    </row>
    <row r="9" spans="1:2" x14ac:dyDescent="0.25">
      <c r="A9" t="s">
        <v>199</v>
      </c>
      <c r="B9">
        <v>46</v>
      </c>
    </row>
    <row r="10" spans="1:2" x14ac:dyDescent="0.25">
      <c r="A10" t="s">
        <v>1235</v>
      </c>
      <c r="B10">
        <v>45</v>
      </c>
    </row>
    <row r="11" spans="1:2" x14ac:dyDescent="0.25">
      <c r="A11" t="s">
        <v>1244</v>
      </c>
      <c r="B11">
        <v>39</v>
      </c>
    </row>
    <row r="12" spans="1:2" hidden="1" x14ac:dyDescent="0.25">
      <c r="A12" t="s">
        <v>1237</v>
      </c>
      <c r="B12">
        <v>22</v>
      </c>
    </row>
    <row r="13" spans="1:2" hidden="1" x14ac:dyDescent="0.25">
      <c r="A13" t="s">
        <v>96</v>
      </c>
      <c r="B13">
        <v>21</v>
      </c>
    </row>
    <row r="14" spans="1:2" hidden="1" x14ac:dyDescent="0.25">
      <c r="A14" t="s">
        <v>749</v>
      </c>
      <c r="B14">
        <v>20</v>
      </c>
    </row>
    <row r="15" spans="1:2" hidden="1" x14ac:dyDescent="0.25">
      <c r="A15" t="s">
        <v>178</v>
      </c>
      <c r="B15">
        <v>17</v>
      </c>
    </row>
    <row r="16" spans="1:2" hidden="1" x14ac:dyDescent="0.25">
      <c r="A16" t="s">
        <v>1230</v>
      </c>
      <c r="B16">
        <v>12</v>
      </c>
    </row>
    <row r="17" spans="1:2" hidden="1" x14ac:dyDescent="0.25">
      <c r="A17" t="s">
        <v>1232</v>
      </c>
      <c r="B17">
        <v>2</v>
      </c>
    </row>
    <row r="18" spans="1:2" hidden="1" x14ac:dyDescent="0.25">
      <c r="A18" t="s">
        <v>1242</v>
      </c>
      <c r="B18">
        <v>2</v>
      </c>
    </row>
    <row r="19" spans="1:2" hidden="1" x14ac:dyDescent="0.25">
      <c r="A19" t="s">
        <v>521</v>
      </c>
      <c r="B19">
        <v>3</v>
      </c>
    </row>
    <row r="20" spans="1:2" hidden="1" x14ac:dyDescent="0.25">
      <c r="A20" t="s">
        <v>1241</v>
      </c>
      <c r="B20">
        <v>4</v>
      </c>
    </row>
    <row r="21" spans="1:2" hidden="1" x14ac:dyDescent="0.25">
      <c r="A21" t="s">
        <v>1236</v>
      </c>
      <c r="B21">
        <v>7</v>
      </c>
    </row>
    <row r="22" spans="1:2" hidden="1" x14ac:dyDescent="0.25">
      <c r="A22" t="s">
        <v>1227</v>
      </c>
      <c r="B22">
        <v>11</v>
      </c>
    </row>
    <row r="23" spans="1:2" hidden="1" x14ac:dyDescent="0.25">
      <c r="A23" t="s">
        <v>1231</v>
      </c>
      <c r="B23">
        <v>0</v>
      </c>
    </row>
    <row r="24" spans="1:2" hidden="1" x14ac:dyDescent="0.25">
      <c r="A24" t="s">
        <v>1233</v>
      </c>
      <c r="B24">
        <v>0</v>
      </c>
    </row>
    <row r="25" spans="1:2" hidden="1" x14ac:dyDescent="0.25">
      <c r="A25" t="s">
        <v>1234</v>
      </c>
      <c r="B25">
        <v>0</v>
      </c>
    </row>
    <row r="26" spans="1:2" hidden="1" x14ac:dyDescent="0.25">
      <c r="A26" t="s">
        <v>1238</v>
      </c>
      <c r="B26">
        <v>0</v>
      </c>
    </row>
    <row r="27" spans="1:2" hidden="1" x14ac:dyDescent="0.25">
      <c r="A27" t="s">
        <v>1239</v>
      </c>
      <c r="B27">
        <v>0</v>
      </c>
    </row>
    <row r="28" spans="1:2" hidden="1" x14ac:dyDescent="0.25">
      <c r="A28" t="s">
        <v>1240</v>
      </c>
      <c r="B28">
        <v>0</v>
      </c>
    </row>
    <row r="29" spans="1:2" hidden="1" x14ac:dyDescent="0.25">
      <c r="A29" t="s">
        <v>1243</v>
      </c>
      <c r="B29">
        <v>0</v>
      </c>
    </row>
    <row r="30" spans="1:2" hidden="1" x14ac:dyDescent="0.25">
      <c r="A30" t="s">
        <v>1245</v>
      </c>
      <c r="B30">
        <v>0</v>
      </c>
    </row>
  </sheetData>
  <pageMargins left="0.7" right="0.7" top="0.75" bottom="0.75" header="0.3" footer="0.3"/>
  <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BE5E3-918A-45A1-AA7C-9D86EBF02891}">
  <dimension ref="A3:B11"/>
  <sheetViews>
    <sheetView topLeftCell="A2" zoomScale="83" zoomScaleNormal="83" workbookViewId="0">
      <selection activeCell="F14" sqref="F14"/>
    </sheetView>
  </sheetViews>
  <sheetFormatPr defaultRowHeight="15" x14ac:dyDescent="0.25"/>
  <cols>
    <col min="1" max="1" width="62.85546875" bestFit="1" customWidth="1"/>
    <col min="2" max="2" width="3.28515625" bestFit="1" customWidth="1"/>
    <col min="3" max="3" width="14" bestFit="1" customWidth="1"/>
    <col min="4" max="4" width="12.5703125" bestFit="1" customWidth="1"/>
    <col min="5" max="5" width="16.5703125" bestFit="1" customWidth="1"/>
    <col min="6" max="6" width="24" bestFit="1" customWidth="1"/>
    <col min="7" max="7" width="24.7109375" bestFit="1" customWidth="1"/>
    <col min="8" max="8" width="59" bestFit="1" customWidth="1"/>
    <col min="9" max="9" width="13.85546875" bestFit="1" customWidth="1"/>
    <col min="10" max="10" width="7" bestFit="1" customWidth="1"/>
    <col min="11" max="11" width="3.85546875" bestFit="1" customWidth="1"/>
    <col min="12" max="14" width="7" bestFit="1" customWidth="1"/>
    <col min="15" max="15" width="11.28515625" bestFit="1" customWidth="1"/>
  </cols>
  <sheetData>
    <row r="3" spans="1:2" x14ac:dyDescent="0.25">
      <c r="A3" s="2" t="s">
        <v>1257</v>
      </c>
    </row>
    <row r="4" spans="1:2" x14ac:dyDescent="0.25">
      <c r="A4" s="3" t="s">
        <v>1251</v>
      </c>
      <c r="B4">
        <v>69</v>
      </c>
    </row>
    <row r="5" spans="1:2" x14ac:dyDescent="0.25">
      <c r="A5" s="3" t="s">
        <v>1249</v>
      </c>
      <c r="B5">
        <v>68</v>
      </c>
    </row>
    <row r="6" spans="1:2" x14ac:dyDescent="0.25">
      <c r="A6" s="3" t="s">
        <v>1252</v>
      </c>
      <c r="B6">
        <v>68</v>
      </c>
    </row>
    <row r="7" spans="1:2" x14ac:dyDescent="0.25">
      <c r="A7" s="3" t="s">
        <v>1256</v>
      </c>
      <c r="B7">
        <v>68</v>
      </c>
    </row>
    <row r="8" spans="1:2" x14ac:dyDescent="0.25">
      <c r="A8" s="3" t="s">
        <v>1253</v>
      </c>
      <c r="B8">
        <v>66</v>
      </c>
    </row>
    <row r="9" spans="1:2" x14ac:dyDescent="0.25">
      <c r="A9" s="3" t="s">
        <v>1255</v>
      </c>
      <c r="B9">
        <v>64</v>
      </c>
    </row>
    <row r="10" spans="1:2" x14ac:dyDescent="0.25">
      <c r="A10" s="3" t="s">
        <v>1250</v>
      </c>
      <c r="B10">
        <v>61</v>
      </c>
    </row>
    <row r="11" spans="1:2" x14ac:dyDescent="0.25">
      <c r="A11" s="3" t="s">
        <v>1254</v>
      </c>
      <c r="B11">
        <v>58</v>
      </c>
    </row>
  </sheetData>
  <sortState xmlns:xlrd2="http://schemas.microsoft.com/office/spreadsheetml/2017/richdata2" ref="A3:B11">
    <sortCondition descending="1" ref="B4"/>
  </sortState>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B239-D8A9-49A3-9ED9-ABA673B8378D}">
  <dimension ref="A3:C91"/>
  <sheetViews>
    <sheetView zoomScale="90" workbookViewId="0">
      <selection activeCell="B10" sqref="B10"/>
    </sheetView>
  </sheetViews>
  <sheetFormatPr defaultRowHeight="15" x14ac:dyDescent="0.25"/>
  <cols>
    <col min="1" max="1" width="98.7109375" bestFit="1" customWidth="1"/>
    <col min="2" max="2" width="30.140625" bestFit="1" customWidth="1"/>
    <col min="3" max="3" width="17.5703125" bestFit="1" customWidth="1"/>
  </cols>
  <sheetData>
    <row r="3" spans="1:3" x14ac:dyDescent="0.25">
      <c r="A3" s="2" t="s">
        <v>1192</v>
      </c>
      <c r="B3" t="s">
        <v>1261</v>
      </c>
      <c r="C3" t="s">
        <v>1262</v>
      </c>
    </row>
    <row r="4" spans="1:3" x14ac:dyDescent="0.25">
      <c r="A4" s="3" t="s">
        <v>138</v>
      </c>
      <c r="B4">
        <v>10</v>
      </c>
      <c r="C4">
        <v>10</v>
      </c>
    </row>
    <row r="5" spans="1:3" x14ac:dyDescent="0.25">
      <c r="A5" s="6" t="s">
        <v>461</v>
      </c>
      <c r="B5">
        <v>1</v>
      </c>
      <c r="C5">
        <v>1</v>
      </c>
    </row>
    <row r="6" spans="1:3" x14ac:dyDescent="0.25">
      <c r="A6" s="6" t="s">
        <v>290</v>
      </c>
      <c r="B6">
        <v>1</v>
      </c>
      <c r="C6">
        <v>1</v>
      </c>
    </row>
    <row r="7" spans="1:3" x14ac:dyDescent="0.25">
      <c r="A7" s="6" t="s">
        <v>446</v>
      </c>
      <c r="B7">
        <v>1</v>
      </c>
      <c r="C7">
        <v>1</v>
      </c>
    </row>
    <row r="8" spans="1:3" x14ac:dyDescent="0.25">
      <c r="A8" s="6" t="s">
        <v>640</v>
      </c>
      <c r="B8">
        <v>1</v>
      </c>
      <c r="C8">
        <v>1</v>
      </c>
    </row>
    <row r="9" spans="1:3" x14ac:dyDescent="0.25">
      <c r="A9" s="6" t="s">
        <v>415</v>
      </c>
      <c r="B9">
        <v>1</v>
      </c>
      <c r="C9">
        <v>1</v>
      </c>
    </row>
    <row r="10" spans="1:3" x14ac:dyDescent="0.25">
      <c r="A10" s="6" t="s">
        <v>623</v>
      </c>
      <c r="B10">
        <v>1</v>
      </c>
      <c r="C10">
        <v>1</v>
      </c>
    </row>
    <row r="11" spans="1:3" x14ac:dyDescent="0.25">
      <c r="A11" s="6" t="s">
        <v>736</v>
      </c>
      <c r="B11">
        <v>1</v>
      </c>
      <c r="C11">
        <v>1</v>
      </c>
    </row>
    <row r="12" spans="1:3" x14ac:dyDescent="0.25">
      <c r="A12" s="6" t="s">
        <v>574</v>
      </c>
      <c r="B12">
        <v>1</v>
      </c>
      <c r="C12">
        <v>1</v>
      </c>
    </row>
    <row r="13" spans="1:3" x14ac:dyDescent="0.25">
      <c r="A13" s="6" t="s">
        <v>139</v>
      </c>
      <c r="B13">
        <v>1</v>
      </c>
      <c r="C13">
        <v>1</v>
      </c>
    </row>
    <row r="14" spans="1:3" x14ac:dyDescent="0.25">
      <c r="A14" s="6" t="s">
        <v>558</v>
      </c>
      <c r="B14">
        <v>1</v>
      </c>
      <c r="C14">
        <v>1</v>
      </c>
    </row>
    <row r="15" spans="1:3" x14ac:dyDescent="0.25">
      <c r="A15" s="3" t="s">
        <v>253</v>
      </c>
      <c r="B15">
        <v>10</v>
      </c>
      <c r="C15">
        <v>10</v>
      </c>
    </row>
    <row r="16" spans="1:3" x14ac:dyDescent="0.25">
      <c r="A16" s="6" t="s">
        <v>381</v>
      </c>
      <c r="B16">
        <v>1</v>
      </c>
      <c r="C16">
        <v>1</v>
      </c>
    </row>
    <row r="17" spans="1:3" x14ac:dyDescent="0.25">
      <c r="A17" s="6" t="s">
        <v>493</v>
      </c>
      <c r="B17">
        <v>1</v>
      </c>
      <c r="C17">
        <v>1</v>
      </c>
    </row>
    <row r="18" spans="1:3" x14ac:dyDescent="0.25">
      <c r="A18" s="6" t="s">
        <v>1169</v>
      </c>
      <c r="B18">
        <v>1</v>
      </c>
      <c r="C18">
        <v>1</v>
      </c>
    </row>
    <row r="19" spans="1:3" x14ac:dyDescent="0.25">
      <c r="A19" s="6" t="s">
        <v>254</v>
      </c>
      <c r="B19">
        <v>1</v>
      </c>
      <c r="C19">
        <v>1</v>
      </c>
    </row>
    <row r="20" spans="1:3" x14ac:dyDescent="0.25">
      <c r="A20" s="6" t="s">
        <v>588</v>
      </c>
      <c r="B20">
        <v>1</v>
      </c>
      <c r="C20">
        <v>1</v>
      </c>
    </row>
    <row r="21" spans="1:3" x14ac:dyDescent="0.25">
      <c r="A21" s="6" t="s">
        <v>892</v>
      </c>
      <c r="B21">
        <v>1</v>
      </c>
      <c r="C21">
        <v>1</v>
      </c>
    </row>
    <row r="22" spans="1:3" x14ac:dyDescent="0.25">
      <c r="A22" s="6" t="s">
        <v>306</v>
      </c>
      <c r="B22">
        <v>1</v>
      </c>
      <c r="C22">
        <v>1</v>
      </c>
    </row>
    <row r="23" spans="1:3" x14ac:dyDescent="0.25">
      <c r="A23" s="6" t="s">
        <v>673</v>
      </c>
      <c r="B23">
        <v>1</v>
      </c>
      <c r="C23">
        <v>1</v>
      </c>
    </row>
    <row r="24" spans="1:3" x14ac:dyDescent="0.25">
      <c r="A24" s="6" t="s">
        <v>509</v>
      </c>
      <c r="B24">
        <v>1</v>
      </c>
      <c r="C24">
        <v>1</v>
      </c>
    </row>
    <row r="25" spans="1:3" x14ac:dyDescent="0.25">
      <c r="A25" s="6" t="s">
        <v>330</v>
      </c>
      <c r="B25">
        <v>1</v>
      </c>
      <c r="C25">
        <v>1</v>
      </c>
    </row>
    <row r="26" spans="1:3" x14ac:dyDescent="0.25">
      <c r="A26" s="3" t="s">
        <v>236</v>
      </c>
      <c r="B26">
        <v>7</v>
      </c>
      <c r="C26">
        <v>7</v>
      </c>
    </row>
    <row r="27" spans="1:3" x14ac:dyDescent="0.25">
      <c r="A27" s="6" t="s">
        <v>1076</v>
      </c>
      <c r="B27">
        <v>1</v>
      </c>
      <c r="C27">
        <v>1</v>
      </c>
    </row>
    <row r="28" spans="1:3" x14ac:dyDescent="0.25">
      <c r="A28" s="6" t="s">
        <v>1047</v>
      </c>
      <c r="B28">
        <v>1</v>
      </c>
      <c r="C28">
        <v>1</v>
      </c>
    </row>
    <row r="29" spans="1:3" x14ac:dyDescent="0.25">
      <c r="A29" s="6" t="s">
        <v>1032</v>
      </c>
      <c r="B29">
        <v>1</v>
      </c>
      <c r="C29">
        <v>1</v>
      </c>
    </row>
    <row r="30" spans="1:3" x14ac:dyDescent="0.25">
      <c r="A30" s="6" t="s">
        <v>1119</v>
      </c>
      <c r="B30">
        <v>1</v>
      </c>
      <c r="C30">
        <v>1</v>
      </c>
    </row>
    <row r="31" spans="1:3" x14ac:dyDescent="0.25">
      <c r="A31" s="6" t="s">
        <v>948</v>
      </c>
      <c r="B31">
        <v>1</v>
      </c>
      <c r="C31">
        <v>1</v>
      </c>
    </row>
    <row r="32" spans="1:3" x14ac:dyDescent="0.25">
      <c r="A32" s="6" t="s">
        <v>237</v>
      </c>
      <c r="B32">
        <v>1</v>
      </c>
      <c r="C32">
        <v>1</v>
      </c>
    </row>
    <row r="33" spans="1:3" x14ac:dyDescent="0.25">
      <c r="A33" s="6" t="s">
        <v>845</v>
      </c>
      <c r="B33">
        <v>1</v>
      </c>
      <c r="C33">
        <v>1</v>
      </c>
    </row>
    <row r="34" spans="1:3" x14ac:dyDescent="0.25">
      <c r="A34" s="3" t="s">
        <v>98</v>
      </c>
      <c r="B34">
        <v>6</v>
      </c>
      <c r="C34">
        <v>6</v>
      </c>
    </row>
    <row r="35" spans="1:3" x14ac:dyDescent="0.25">
      <c r="A35" s="6" t="s">
        <v>830</v>
      </c>
      <c r="B35">
        <v>1</v>
      </c>
      <c r="C35">
        <v>1</v>
      </c>
    </row>
    <row r="36" spans="1:3" x14ac:dyDescent="0.25">
      <c r="A36" s="6" t="s">
        <v>655</v>
      </c>
      <c r="B36">
        <v>1</v>
      </c>
      <c r="C36">
        <v>1</v>
      </c>
    </row>
    <row r="37" spans="1:3" x14ac:dyDescent="0.25">
      <c r="A37" s="6" t="s">
        <v>785</v>
      </c>
      <c r="B37">
        <v>1</v>
      </c>
      <c r="C37">
        <v>1</v>
      </c>
    </row>
    <row r="38" spans="1:3" x14ac:dyDescent="0.25">
      <c r="A38" s="6" t="s">
        <v>570</v>
      </c>
      <c r="B38">
        <v>1</v>
      </c>
      <c r="C38">
        <v>1</v>
      </c>
    </row>
    <row r="39" spans="1:3" x14ac:dyDescent="0.25">
      <c r="A39" s="6" t="s">
        <v>1090</v>
      </c>
      <c r="B39">
        <v>1</v>
      </c>
      <c r="C39">
        <v>1</v>
      </c>
    </row>
    <row r="40" spans="1:3" x14ac:dyDescent="0.25">
      <c r="A40" s="6" t="s">
        <v>719</v>
      </c>
      <c r="B40">
        <v>1</v>
      </c>
      <c r="C40">
        <v>1</v>
      </c>
    </row>
    <row r="41" spans="1:3" x14ac:dyDescent="0.25">
      <c r="A41" s="3" t="s">
        <v>921</v>
      </c>
      <c r="B41">
        <v>5</v>
      </c>
      <c r="C41">
        <v>5</v>
      </c>
    </row>
    <row r="42" spans="1:3" x14ac:dyDescent="0.25">
      <c r="A42" s="6" t="s">
        <v>990</v>
      </c>
      <c r="B42">
        <v>1</v>
      </c>
      <c r="C42">
        <v>1</v>
      </c>
    </row>
    <row r="43" spans="1:3" x14ac:dyDescent="0.25">
      <c r="A43" s="6" t="s">
        <v>1144</v>
      </c>
      <c r="B43">
        <v>1</v>
      </c>
      <c r="C43">
        <v>1</v>
      </c>
    </row>
    <row r="44" spans="1:3" x14ac:dyDescent="0.25">
      <c r="A44" s="6" t="s">
        <v>958</v>
      </c>
      <c r="B44">
        <v>1</v>
      </c>
      <c r="C44">
        <v>1</v>
      </c>
    </row>
    <row r="45" spans="1:3" x14ac:dyDescent="0.25">
      <c r="A45" s="6" t="s">
        <v>922</v>
      </c>
      <c r="B45">
        <v>1</v>
      </c>
      <c r="C45">
        <v>1</v>
      </c>
    </row>
    <row r="46" spans="1:3" x14ac:dyDescent="0.25">
      <c r="A46" s="6" t="s">
        <v>1004</v>
      </c>
      <c r="B46">
        <v>1</v>
      </c>
      <c r="C46">
        <v>1</v>
      </c>
    </row>
    <row r="47" spans="1:3" x14ac:dyDescent="0.25">
      <c r="A47" s="3" t="s">
        <v>102</v>
      </c>
      <c r="B47">
        <v>4</v>
      </c>
      <c r="C47">
        <v>4</v>
      </c>
    </row>
    <row r="48" spans="1:3" x14ac:dyDescent="0.25">
      <c r="A48" s="6" t="s">
        <v>1061</v>
      </c>
      <c r="B48">
        <v>1</v>
      </c>
      <c r="C48">
        <v>1</v>
      </c>
    </row>
    <row r="49" spans="1:3" x14ac:dyDescent="0.25">
      <c r="A49" s="6" t="s">
        <v>363</v>
      </c>
      <c r="B49">
        <v>1</v>
      </c>
      <c r="C49">
        <v>1</v>
      </c>
    </row>
    <row r="50" spans="1:3" x14ac:dyDescent="0.25">
      <c r="A50" s="6" t="s">
        <v>103</v>
      </c>
      <c r="B50">
        <v>1</v>
      </c>
      <c r="C50">
        <v>1</v>
      </c>
    </row>
    <row r="51" spans="1:3" x14ac:dyDescent="0.25">
      <c r="A51" s="6" t="s">
        <v>217</v>
      </c>
      <c r="B51">
        <v>1</v>
      </c>
      <c r="C51">
        <v>1</v>
      </c>
    </row>
    <row r="52" spans="1:3" x14ac:dyDescent="0.25">
      <c r="A52" s="3" t="s">
        <v>749</v>
      </c>
      <c r="B52">
        <v>4</v>
      </c>
      <c r="C52">
        <v>4</v>
      </c>
    </row>
    <row r="53" spans="1:3" x14ac:dyDescent="0.25">
      <c r="A53" s="6" t="s">
        <v>1019</v>
      </c>
      <c r="B53">
        <v>1</v>
      </c>
      <c r="C53">
        <v>1</v>
      </c>
    </row>
    <row r="54" spans="1:3" x14ac:dyDescent="0.25">
      <c r="A54" s="6" t="s">
        <v>1155</v>
      </c>
      <c r="B54">
        <v>1</v>
      </c>
      <c r="C54">
        <v>1</v>
      </c>
    </row>
    <row r="55" spans="1:3" x14ac:dyDescent="0.25">
      <c r="A55" s="6" t="s">
        <v>862</v>
      </c>
      <c r="B55">
        <v>1</v>
      </c>
      <c r="C55">
        <v>1</v>
      </c>
    </row>
    <row r="56" spans="1:3" x14ac:dyDescent="0.25">
      <c r="A56" s="6" t="s">
        <v>1132</v>
      </c>
      <c r="B56">
        <v>1</v>
      </c>
      <c r="C56">
        <v>1</v>
      </c>
    </row>
    <row r="57" spans="1:3" x14ac:dyDescent="0.25">
      <c r="A57" s="3" t="s">
        <v>100</v>
      </c>
      <c r="B57">
        <v>4</v>
      </c>
      <c r="C57">
        <v>4</v>
      </c>
    </row>
    <row r="58" spans="1:3" x14ac:dyDescent="0.25">
      <c r="A58" s="6" t="s">
        <v>159</v>
      </c>
      <c r="B58">
        <v>1</v>
      </c>
      <c r="C58">
        <v>1</v>
      </c>
    </row>
    <row r="59" spans="1:3" x14ac:dyDescent="0.25">
      <c r="A59" s="6" t="s">
        <v>974</v>
      </c>
      <c r="B59">
        <v>1</v>
      </c>
      <c r="C59">
        <v>1</v>
      </c>
    </row>
    <row r="60" spans="1:3" x14ac:dyDescent="0.25">
      <c r="A60" s="6" t="s">
        <v>816</v>
      </c>
      <c r="B60">
        <v>1</v>
      </c>
      <c r="C60">
        <v>1</v>
      </c>
    </row>
    <row r="61" spans="1:3" x14ac:dyDescent="0.25">
      <c r="A61" s="6" t="s">
        <v>877</v>
      </c>
      <c r="B61">
        <v>1</v>
      </c>
      <c r="C61">
        <v>1</v>
      </c>
    </row>
    <row r="62" spans="1:3" x14ac:dyDescent="0.25">
      <c r="A62" s="3" t="s">
        <v>199</v>
      </c>
      <c r="B62">
        <v>4</v>
      </c>
      <c r="C62">
        <v>4</v>
      </c>
    </row>
    <row r="63" spans="1:3" x14ac:dyDescent="0.25">
      <c r="A63" s="6" t="s">
        <v>477</v>
      </c>
      <c r="B63">
        <v>1</v>
      </c>
      <c r="C63">
        <v>1</v>
      </c>
    </row>
    <row r="64" spans="1:3" x14ac:dyDescent="0.25">
      <c r="A64" s="6" t="s">
        <v>200</v>
      </c>
      <c r="B64">
        <v>1</v>
      </c>
      <c r="C64">
        <v>1</v>
      </c>
    </row>
    <row r="65" spans="1:3" x14ac:dyDescent="0.25">
      <c r="A65" s="6" t="s">
        <v>961</v>
      </c>
      <c r="B65">
        <v>1</v>
      </c>
      <c r="C65">
        <v>1</v>
      </c>
    </row>
    <row r="66" spans="1:3" x14ac:dyDescent="0.25">
      <c r="A66" s="6" t="s">
        <v>272</v>
      </c>
      <c r="B66">
        <v>1</v>
      </c>
      <c r="C66">
        <v>1</v>
      </c>
    </row>
    <row r="67" spans="1:3" x14ac:dyDescent="0.25">
      <c r="A67" s="3" t="s">
        <v>178</v>
      </c>
      <c r="B67">
        <v>3</v>
      </c>
      <c r="C67">
        <v>3</v>
      </c>
    </row>
    <row r="68" spans="1:3" x14ac:dyDescent="0.25">
      <c r="A68" s="6" t="s">
        <v>179</v>
      </c>
      <c r="B68">
        <v>1</v>
      </c>
      <c r="C68">
        <v>1</v>
      </c>
    </row>
    <row r="69" spans="1:3" x14ac:dyDescent="0.25">
      <c r="A69" s="6" t="s">
        <v>348</v>
      </c>
      <c r="B69">
        <v>1</v>
      </c>
      <c r="C69">
        <v>1</v>
      </c>
    </row>
    <row r="70" spans="1:3" x14ac:dyDescent="0.25">
      <c r="A70" s="6" t="s">
        <v>398</v>
      </c>
      <c r="B70">
        <v>1</v>
      </c>
      <c r="C70">
        <v>1</v>
      </c>
    </row>
    <row r="71" spans="1:3" x14ac:dyDescent="0.25">
      <c r="A71" s="3" t="s">
        <v>605</v>
      </c>
      <c r="B71">
        <v>3</v>
      </c>
      <c r="C71">
        <v>3</v>
      </c>
    </row>
    <row r="72" spans="1:3" x14ac:dyDescent="0.25">
      <c r="A72" s="6" t="s">
        <v>657</v>
      </c>
      <c r="B72">
        <v>1</v>
      </c>
      <c r="C72">
        <v>1</v>
      </c>
    </row>
    <row r="73" spans="1:3" x14ac:dyDescent="0.25">
      <c r="A73" s="6" t="s">
        <v>705</v>
      </c>
      <c r="B73">
        <v>1</v>
      </c>
      <c r="C73">
        <v>1</v>
      </c>
    </row>
    <row r="74" spans="1:3" x14ac:dyDescent="0.25">
      <c r="A74" s="6" t="s">
        <v>606</v>
      </c>
      <c r="B74">
        <v>1</v>
      </c>
      <c r="C74">
        <v>1</v>
      </c>
    </row>
    <row r="75" spans="1:3" x14ac:dyDescent="0.25">
      <c r="A75" s="3" t="s">
        <v>96</v>
      </c>
      <c r="B75">
        <v>2</v>
      </c>
      <c r="C75">
        <v>2</v>
      </c>
    </row>
    <row r="76" spans="1:3" x14ac:dyDescent="0.25">
      <c r="A76" s="6" t="s">
        <v>527</v>
      </c>
      <c r="B76">
        <v>1</v>
      </c>
      <c r="C76">
        <v>1</v>
      </c>
    </row>
    <row r="77" spans="1:3" x14ac:dyDescent="0.25">
      <c r="A77" s="6" t="s">
        <v>121</v>
      </c>
      <c r="B77">
        <v>1</v>
      </c>
      <c r="C77">
        <v>1</v>
      </c>
    </row>
    <row r="78" spans="1:3" x14ac:dyDescent="0.25">
      <c r="A78" s="3" t="s">
        <v>197</v>
      </c>
      <c r="B78">
        <v>2</v>
      </c>
      <c r="C78">
        <v>2</v>
      </c>
    </row>
    <row r="79" spans="1:3" x14ac:dyDescent="0.25">
      <c r="A79" s="6" t="s">
        <v>431</v>
      </c>
      <c r="B79">
        <v>1</v>
      </c>
      <c r="C79">
        <v>1</v>
      </c>
    </row>
    <row r="80" spans="1:3" x14ac:dyDescent="0.25">
      <c r="A80" s="6" t="s">
        <v>542</v>
      </c>
      <c r="B80">
        <v>1</v>
      </c>
      <c r="C80">
        <v>1</v>
      </c>
    </row>
    <row r="81" spans="1:3" x14ac:dyDescent="0.25">
      <c r="A81" s="3" t="s">
        <v>801</v>
      </c>
      <c r="B81">
        <v>1</v>
      </c>
      <c r="C81">
        <v>1</v>
      </c>
    </row>
    <row r="82" spans="1:3" x14ac:dyDescent="0.25">
      <c r="A82" s="6" t="s">
        <v>802</v>
      </c>
      <c r="B82">
        <v>1</v>
      </c>
      <c r="C82">
        <v>1</v>
      </c>
    </row>
    <row r="83" spans="1:3" x14ac:dyDescent="0.25">
      <c r="A83" s="3" t="s">
        <v>689</v>
      </c>
      <c r="B83">
        <v>1</v>
      </c>
      <c r="C83">
        <v>1</v>
      </c>
    </row>
    <row r="84" spans="1:3" x14ac:dyDescent="0.25">
      <c r="A84" s="6" t="s">
        <v>690</v>
      </c>
      <c r="B84">
        <v>1</v>
      </c>
      <c r="C84">
        <v>1</v>
      </c>
    </row>
    <row r="85" spans="1:3" x14ac:dyDescent="0.25">
      <c r="A85" s="3" t="s">
        <v>767</v>
      </c>
      <c r="B85">
        <v>1</v>
      </c>
      <c r="C85">
        <v>1</v>
      </c>
    </row>
    <row r="86" spans="1:3" x14ac:dyDescent="0.25">
      <c r="A86" s="6" t="s">
        <v>768</v>
      </c>
      <c r="B86">
        <v>1</v>
      </c>
      <c r="C86">
        <v>1</v>
      </c>
    </row>
    <row r="87" spans="1:3" x14ac:dyDescent="0.25">
      <c r="A87" s="3" t="s">
        <v>523</v>
      </c>
      <c r="B87">
        <v>1</v>
      </c>
      <c r="C87">
        <v>1</v>
      </c>
    </row>
    <row r="88" spans="1:3" x14ac:dyDescent="0.25">
      <c r="A88" s="6" t="s">
        <v>935</v>
      </c>
      <c r="B88">
        <v>1</v>
      </c>
      <c r="C88">
        <v>1</v>
      </c>
    </row>
    <row r="89" spans="1:3" x14ac:dyDescent="0.25">
      <c r="A89" s="3" t="s">
        <v>1105</v>
      </c>
      <c r="B89">
        <v>1</v>
      </c>
      <c r="C89">
        <v>1</v>
      </c>
    </row>
    <row r="90" spans="1:3" x14ac:dyDescent="0.25">
      <c r="A90" s="6" t="s">
        <v>1106</v>
      </c>
      <c r="B90">
        <v>1</v>
      </c>
      <c r="C90">
        <v>1</v>
      </c>
    </row>
    <row r="91" spans="1:3" x14ac:dyDescent="0.25">
      <c r="A91" s="3" t="s">
        <v>1193</v>
      </c>
      <c r="B91">
        <v>69</v>
      </c>
      <c r="C91">
        <v>69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BDC0F-4C86-4629-A8FC-10D206519BBE}">
  <dimension ref="A3:C115"/>
  <sheetViews>
    <sheetView topLeftCell="A6" workbookViewId="0">
      <selection activeCell="A14" sqref="A14"/>
    </sheetView>
  </sheetViews>
  <sheetFormatPr defaultRowHeight="15" x14ac:dyDescent="0.25"/>
  <cols>
    <col min="1" max="1" width="212" bestFit="1" customWidth="1"/>
    <col min="2" max="2" width="65.7109375" bestFit="1" customWidth="1"/>
    <col min="3" max="3" width="17.5703125" bestFit="1" customWidth="1"/>
  </cols>
  <sheetData>
    <row r="3" spans="1:3" x14ac:dyDescent="0.25">
      <c r="A3" s="2" t="s">
        <v>1192</v>
      </c>
      <c r="B3" t="s">
        <v>1263</v>
      </c>
      <c r="C3" t="s">
        <v>1264</v>
      </c>
    </row>
    <row r="4" spans="1:3" x14ac:dyDescent="0.25">
      <c r="A4" s="3" t="s">
        <v>528</v>
      </c>
      <c r="B4">
        <v>17</v>
      </c>
      <c r="C4">
        <v>17</v>
      </c>
    </row>
    <row r="5" spans="1:3" x14ac:dyDescent="0.25">
      <c r="A5" s="6" t="s">
        <v>878</v>
      </c>
      <c r="B5">
        <v>1</v>
      </c>
      <c r="C5">
        <v>1</v>
      </c>
    </row>
    <row r="6" spans="1:3" x14ac:dyDescent="0.25">
      <c r="A6" s="6" t="s">
        <v>1156</v>
      </c>
      <c r="B6">
        <v>1</v>
      </c>
      <c r="C6">
        <v>1</v>
      </c>
    </row>
    <row r="7" spans="1:3" x14ac:dyDescent="0.25">
      <c r="A7" s="6" t="s">
        <v>575</v>
      </c>
      <c r="B7">
        <v>1</v>
      </c>
      <c r="C7">
        <v>1</v>
      </c>
    </row>
    <row r="8" spans="1:3" x14ac:dyDescent="0.25">
      <c r="A8" s="6" t="s">
        <v>893</v>
      </c>
      <c r="B8">
        <v>1</v>
      </c>
      <c r="C8">
        <v>1</v>
      </c>
    </row>
    <row r="9" spans="1:3" x14ac:dyDescent="0.25">
      <c r="A9" s="6" t="s">
        <v>962</v>
      </c>
      <c r="B9">
        <v>2</v>
      </c>
      <c r="C9">
        <v>2</v>
      </c>
    </row>
    <row r="10" spans="1:3" x14ac:dyDescent="0.25">
      <c r="A10" s="6" t="s">
        <v>1033</v>
      </c>
      <c r="B10">
        <v>1</v>
      </c>
      <c r="C10">
        <v>1</v>
      </c>
    </row>
    <row r="11" spans="1:3" x14ac:dyDescent="0.25">
      <c r="A11" s="6" t="s">
        <v>752</v>
      </c>
      <c r="B11">
        <v>1</v>
      </c>
      <c r="C11">
        <v>1</v>
      </c>
    </row>
    <row r="12" spans="1:3" x14ac:dyDescent="0.25">
      <c r="A12" s="6" t="s">
        <v>1005</v>
      </c>
      <c r="B12">
        <v>1</v>
      </c>
      <c r="C12">
        <v>1</v>
      </c>
    </row>
    <row r="13" spans="1:3" x14ac:dyDescent="0.25">
      <c r="A13" s="6" t="s">
        <v>936</v>
      </c>
      <c r="B13">
        <v>1</v>
      </c>
      <c r="C13">
        <v>1</v>
      </c>
    </row>
    <row r="14" spans="1:3" x14ac:dyDescent="0.25">
      <c r="A14" s="6" t="s">
        <v>608</v>
      </c>
      <c r="B14">
        <v>2</v>
      </c>
      <c r="C14">
        <v>2</v>
      </c>
    </row>
    <row r="15" spans="1:3" x14ac:dyDescent="0.25">
      <c r="A15" s="6" t="s">
        <v>909</v>
      </c>
      <c r="B15">
        <v>1</v>
      </c>
      <c r="C15">
        <v>1</v>
      </c>
    </row>
    <row r="16" spans="1:3" x14ac:dyDescent="0.25">
      <c r="A16" s="6" t="s">
        <v>737</v>
      </c>
      <c r="B16">
        <v>1</v>
      </c>
      <c r="C16">
        <v>1</v>
      </c>
    </row>
    <row r="17" spans="1:3" x14ac:dyDescent="0.25">
      <c r="A17" s="6" t="s">
        <v>1048</v>
      </c>
      <c r="B17">
        <v>2</v>
      </c>
      <c r="C17">
        <v>2</v>
      </c>
    </row>
    <row r="18" spans="1:3" x14ac:dyDescent="0.25">
      <c r="A18" s="6" t="s">
        <v>529</v>
      </c>
      <c r="B18">
        <v>1</v>
      </c>
      <c r="C18">
        <v>1</v>
      </c>
    </row>
    <row r="19" spans="1:3" x14ac:dyDescent="0.25">
      <c r="A19" s="3" t="s">
        <v>1077</v>
      </c>
      <c r="B19">
        <v>5</v>
      </c>
      <c r="C19">
        <v>5</v>
      </c>
    </row>
    <row r="20" spans="1:3" x14ac:dyDescent="0.25">
      <c r="A20" s="6" t="s">
        <v>608</v>
      </c>
      <c r="B20">
        <v>1</v>
      </c>
      <c r="C20">
        <v>1</v>
      </c>
    </row>
    <row r="21" spans="1:3" x14ac:dyDescent="0.25">
      <c r="A21" s="6" t="s">
        <v>1078</v>
      </c>
      <c r="B21">
        <v>2</v>
      </c>
      <c r="C21">
        <v>2</v>
      </c>
    </row>
    <row r="22" spans="1:3" x14ac:dyDescent="0.25">
      <c r="A22" s="6" t="s">
        <v>1092</v>
      </c>
      <c r="B22">
        <v>1</v>
      </c>
      <c r="C22">
        <v>1</v>
      </c>
    </row>
    <row r="23" spans="1:3" x14ac:dyDescent="0.25">
      <c r="A23" s="6" t="s">
        <v>1048</v>
      </c>
      <c r="B23">
        <v>1</v>
      </c>
      <c r="C23">
        <v>1</v>
      </c>
    </row>
    <row r="24" spans="1:3" x14ac:dyDescent="0.25">
      <c r="A24" s="3" t="s">
        <v>641</v>
      </c>
      <c r="B24">
        <v>3</v>
      </c>
      <c r="C24">
        <v>3</v>
      </c>
    </row>
    <row r="25" spans="1:3" x14ac:dyDescent="0.25">
      <c r="A25" s="6" t="s">
        <v>642</v>
      </c>
      <c r="B25">
        <v>1</v>
      </c>
      <c r="C25">
        <v>1</v>
      </c>
    </row>
    <row r="26" spans="1:3" x14ac:dyDescent="0.25">
      <c r="A26" s="6" t="s">
        <v>721</v>
      </c>
      <c r="B26">
        <v>1</v>
      </c>
      <c r="C26">
        <v>1</v>
      </c>
    </row>
    <row r="27" spans="1:3" x14ac:dyDescent="0.25">
      <c r="A27" s="6" t="s">
        <v>975</v>
      </c>
      <c r="B27">
        <v>1</v>
      </c>
      <c r="C27">
        <v>1</v>
      </c>
    </row>
    <row r="28" spans="1:3" x14ac:dyDescent="0.25">
      <c r="A28" s="3" t="s">
        <v>706</v>
      </c>
      <c r="B28">
        <v>2</v>
      </c>
      <c r="C28">
        <v>2</v>
      </c>
    </row>
    <row r="29" spans="1:3" x14ac:dyDescent="0.25">
      <c r="A29" s="6" t="s">
        <v>707</v>
      </c>
      <c r="B29">
        <v>1</v>
      </c>
      <c r="C29">
        <v>1</v>
      </c>
    </row>
    <row r="30" spans="1:3" x14ac:dyDescent="0.25">
      <c r="A30" s="6" t="s">
        <v>832</v>
      </c>
      <c r="B30">
        <v>1</v>
      </c>
      <c r="C30">
        <v>1</v>
      </c>
    </row>
    <row r="31" spans="1:3" x14ac:dyDescent="0.25">
      <c r="A31" s="3" t="s">
        <v>432</v>
      </c>
      <c r="B31">
        <v>1</v>
      </c>
      <c r="C31">
        <v>1</v>
      </c>
    </row>
    <row r="32" spans="1:3" x14ac:dyDescent="0.25">
      <c r="A32" s="6" t="s">
        <v>433</v>
      </c>
      <c r="B32">
        <v>1</v>
      </c>
      <c r="C32">
        <v>1</v>
      </c>
    </row>
    <row r="33" spans="1:3" x14ac:dyDescent="0.25">
      <c r="A33" s="3" t="s">
        <v>104</v>
      </c>
      <c r="B33">
        <v>1</v>
      </c>
      <c r="C33">
        <v>1</v>
      </c>
    </row>
    <row r="34" spans="1:3" x14ac:dyDescent="0.25">
      <c r="A34" s="6" t="s">
        <v>105</v>
      </c>
      <c r="B34">
        <v>1</v>
      </c>
      <c r="C34">
        <v>1</v>
      </c>
    </row>
    <row r="35" spans="1:3" x14ac:dyDescent="0.25">
      <c r="A35" s="3" t="s">
        <v>607</v>
      </c>
      <c r="B35">
        <v>1</v>
      </c>
      <c r="C35">
        <v>1</v>
      </c>
    </row>
    <row r="36" spans="1:3" x14ac:dyDescent="0.25">
      <c r="A36" s="6" t="s">
        <v>608</v>
      </c>
      <c r="B36">
        <v>1</v>
      </c>
      <c r="C36">
        <v>1</v>
      </c>
    </row>
    <row r="37" spans="1:3" x14ac:dyDescent="0.25">
      <c r="A37" s="3" t="s">
        <v>863</v>
      </c>
      <c r="B37">
        <v>1</v>
      </c>
      <c r="C37">
        <v>1</v>
      </c>
    </row>
    <row r="38" spans="1:3" x14ac:dyDescent="0.25">
      <c r="A38" s="6" t="s">
        <v>608</v>
      </c>
      <c r="B38">
        <v>1</v>
      </c>
      <c r="C38">
        <v>1</v>
      </c>
    </row>
    <row r="39" spans="1:3" x14ac:dyDescent="0.25">
      <c r="A39" s="3" t="s">
        <v>543</v>
      </c>
      <c r="B39">
        <v>1</v>
      </c>
      <c r="C39">
        <v>1</v>
      </c>
    </row>
    <row r="40" spans="1:3" x14ac:dyDescent="0.25">
      <c r="A40" s="6" t="s">
        <v>544</v>
      </c>
      <c r="B40">
        <v>1</v>
      </c>
      <c r="C40">
        <v>1</v>
      </c>
    </row>
    <row r="41" spans="1:3" x14ac:dyDescent="0.25">
      <c r="A41" s="3" t="s">
        <v>331</v>
      </c>
      <c r="B41">
        <v>1</v>
      </c>
      <c r="C41">
        <v>1</v>
      </c>
    </row>
    <row r="42" spans="1:3" x14ac:dyDescent="0.25">
      <c r="A42" s="6" t="s">
        <v>332</v>
      </c>
      <c r="B42">
        <v>1</v>
      </c>
      <c r="C42">
        <v>1</v>
      </c>
    </row>
    <row r="43" spans="1:3" x14ac:dyDescent="0.25">
      <c r="A43" s="3" t="s">
        <v>658</v>
      </c>
      <c r="B43">
        <v>1</v>
      </c>
      <c r="C43">
        <v>1</v>
      </c>
    </row>
    <row r="44" spans="1:3" x14ac:dyDescent="0.25">
      <c r="A44" s="6" t="s">
        <v>659</v>
      </c>
      <c r="B44">
        <v>1</v>
      </c>
      <c r="C44">
        <v>1</v>
      </c>
    </row>
    <row r="45" spans="1:3" x14ac:dyDescent="0.25">
      <c r="A45" s="3" t="s">
        <v>416</v>
      </c>
      <c r="B45">
        <v>1</v>
      </c>
      <c r="C45">
        <v>1</v>
      </c>
    </row>
    <row r="46" spans="1:3" x14ac:dyDescent="0.25">
      <c r="A46" s="6" t="s">
        <v>417</v>
      </c>
      <c r="B46">
        <v>1</v>
      </c>
      <c r="C46">
        <v>1</v>
      </c>
    </row>
    <row r="47" spans="1:3" x14ac:dyDescent="0.25">
      <c r="A47" s="3" t="s">
        <v>478</v>
      </c>
      <c r="B47">
        <v>1</v>
      </c>
      <c r="C47">
        <v>1</v>
      </c>
    </row>
    <row r="48" spans="1:3" x14ac:dyDescent="0.25">
      <c r="A48" s="6" t="s">
        <v>479</v>
      </c>
      <c r="B48">
        <v>1</v>
      </c>
      <c r="C48">
        <v>1</v>
      </c>
    </row>
    <row r="49" spans="1:3" x14ac:dyDescent="0.25">
      <c r="A49" s="3" t="s">
        <v>273</v>
      </c>
      <c r="B49">
        <v>1</v>
      </c>
      <c r="C49">
        <v>1</v>
      </c>
    </row>
    <row r="50" spans="1:3" x14ac:dyDescent="0.25">
      <c r="A50" s="6" t="s">
        <v>274</v>
      </c>
      <c r="B50">
        <v>1</v>
      </c>
      <c r="C50">
        <v>1</v>
      </c>
    </row>
    <row r="51" spans="1:3" x14ac:dyDescent="0.25">
      <c r="A51" s="3" t="s">
        <v>201</v>
      </c>
      <c r="B51">
        <v>1</v>
      </c>
      <c r="C51">
        <v>1</v>
      </c>
    </row>
    <row r="52" spans="1:3" x14ac:dyDescent="0.25">
      <c r="A52" s="6" t="s">
        <v>202</v>
      </c>
      <c r="B52">
        <v>1</v>
      </c>
      <c r="C52">
        <v>1</v>
      </c>
    </row>
    <row r="53" spans="1:3" x14ac:dyDescent="0.25">
      <c r="A53" s="3" t="s">
        <v>462</v>
      </c>
      <c r="B53">
        <v>1</v>
      </c>
      <c r="C53">
        <v>1</v>
      </c>
    </row>
    <row r="54" spans="1:3" x14ac:dyDescent="0.25">
      <c r="A54" s="6" t="s">
        <v>463</v>
      </c>
      <c r="B54">
        <v>1</v>
      </c>
      <c r="C54">
        <v>1</v>
      </c>
    </row>
    <row r="55" spans="1:3" x14ac:dyDescent="0.25">
      <c r="A55" s="3" t="s">
        <v>769</v>
      </c>
      <c r="B55">
        <v>1</v>
      </c>
      <c r="C55">
        <v>1</v>
      </c>
    </row>
    <row r="56" spans="1:3" x14ac:dyDescent="0.25">
      <c r="A56" s="6" t="s">
        <v>608</v>
      </c>
      <c r="B56">
        <v>1</v>
      </c>
      <c r="C56">
        <v>1</v>
      </c>
    </row>
    <row r="57" spans="1:3" x14ac:dyDescent="0.25">
      <c r="A57" s="3" t="s">
        <v>624</v>
      </c>
      <c r="B57">
        <v>1</v>
      </c>
      <c r="C57">
        <v>1</v>
      </c>
    </row>
    <row r="58" spans="1:3" x14ac:dyDescent="0.25">
      <c r="A58" s="6" t="s">
        <v>625</v>
      </c>
      <c r="B58">
        <v>1</v>
      </c>
      <c r="C58">
        <v>1</v>
      </c>
    </row>
    <row r="59" spans="1:3" x14ac:dyDescent="0.25">
      <c r="A59" s="3" t="s">
        <v>1170</v>
      </c>
      <c r="B59">
        <v>1</v>
      </c>
      <c r="C59">
        <v>1</v>
      </c>
    </row>
    <row r="60" spans="1:3" x14ac:dyDescent="0.25">
      <c r="A60" s="6" t="s">
        <v>1171</v>
      </c>
      <c r="B60">
        <v>1</v>
      </c>
      <c r="C60">
        <v>1</v>
      </c>
    </row>
    <row r="61" spans="1:3" x14ac:dyDescent="0.25">
      <c r="A61" s="3" t="s">
        <v>991</v>
      </c>
      <c r="B61">
        <v>1</v>
      </c>
      <c r="C61">
        <v>1</v>
      </c>
    </row>
    <row r="62" spans="1:3" x14ac:dyDescent="0.25">
      <c r="A62" s="6" t="s">
        <v>992</v>
      </c>
      <c r="B62">
        <v>1</v>
      </c>
      <c r="C62">
        <v>1</v>
      </c>
    </row>
    <row r="63" spans="1:3" x14ac:dyDescent="0.25">
      <c r="A63" s="3" t="s">
        <v>122</v>
      </c>
      <c r="B63">
        <v>1</v>
      </c>
      <c r="C63">
        <v>1</v>
      </c>
    </row>
    <row r="64" spans="1:3" x14ac:dyDescent="0.25">
      <c r="A64" s="6" t="s">
        <v>123</v>
      </c>
      <c r="B64">
        <v>1</v>
      </c>
      <c r="C64">
        <v>1</v>
      </c>
    </row>
    <row r="65" spans="1:3" x14ac:dyDescent="0.25">
      <c r="A65" s="3" t="s">
        <v>399</v>
      </c>
      <c r="B65">
        <v>1</v>
      </c>
      <c r="C65">
        <v>1</v>
      </c>
    </row>
    <row r="66" spans="1:3" x14ac:dyDescent="0.25">
      <c r="A66" s="6" t="s">
        <v>400</v>
      </c>
      <c r="B66">
        <v>1</v>
      </c>
      <c r="C66">
        <v>1</v>
      </c>
    </row>
    <row r="67" spans="1:3" x14ac:dyDescent="0.25">
      <c r="A67" s="3" t="s">
        <v>674</v>
      </c>
      <c r="B67">
        <v>1</v>
      </c>
      <c r="C67">
        <v>1</v>
      </c>
    </row>
    <row r="68" spans="1:3" x14ac:dyDescent="0.25">
      <c r="A68" s="6" t="s">
        <v>675</v>
      </c>
      <c r="B68">
        <v>1</v>
      </c>
      <c r="C68">
        <v>1</v>
      </c>
    </row>
    <row r="69" spans="1:3" x14ac:dyDescent="0.25">
      <c r="A69" s="3" t="s">
        <v>291</v>
      </c>
      <c r="B69">
        <v>1</v>
      </c>
      <c r="C69">
        <v>1</v>
      </c>
    </row>
    <row r="70" spans="1:3" x14ac:dyDescent="0.25">
      <c r="A70" s="6" t="s">
        <v>292</v>
      </c>
      <c r="B70">
        <v>1</v>
      </c>
      <c r="C70">
        <v>1</v>
      </c>
    </row>
    <row r="71" spans="1:3" x14ac:dyDescent="0.25">
      <c r="A71" s="3" t="s">
        <v>923</v>
      </c>
      <c r="B71">
        <v>1</v>
      </c>
      <c r="C71">
        <v>1</v>
      </c>
    </row>
    <row r="72" spans="1:3" x14ac:dyDescent="0.25">
      <c r="A72" s="6" t="s">
        <v>924</v>
      </c>
      <c r="B72">
        <v>1</v>
      </c>
      <c r="C72">
        <v>1</v>
      </c>
    </row>
    <row r="73" spans="1:3" x14ac:dyDescent="0.25">
      <c r="A73" s="3" t="s">
        <v>349</v>
      </c>
      <c r="B73">
        <v>1</v>
      </c>
      <c r="C73">
        <v>1</v>
      </c>
    </row>
    <row r="74" spans="1:3" x14ac:dyDescent="0.25">
      <c r="A74" s="6" t="s">
        <v>350</v>
      </c>
      <c r="B74">
        <v>1</v>
      </c>
      <c r="C74">
        <v>1</v>
      </c>
    </row>
    <row r="75" spans="1:3" x14ac:dyDescent="0.25">
      <c r="A75" s="3" t="s">
        <v>238</v>
      </c>
      <c r="B75">
        <v>1</v>
      </c>
      <c r="C75">
        <v>1</v>
      </c>
    </row>
    <row r="76" spans="1:3" x14ac:dyDescent="0.25">
      <c r="A76" s="6" t="s">
        <v>239</v>
      </c>
      <c r="B76">
        <v>1</v>
      </c>
      <c r="C76">
        <v>1</v>
      </c>
    </row>
    <row r="77" spans="1:3" x14ac:dyDescent="0.25">
      <c r="A77" s="3" t="s">
        <v>510</v>
      </c>
      <c r="B77">
        <v>1</v>
      </c>
      <c r="C77">
        <v>1</v>
      </c>
    </row>
    <row r="78" spans="1:3" x14ac:dyDescent="0.25">
      <c r="A78" s="6" t="s">
        <v>511</v>
      </c>
      <c r="B78">
        <v>1</v>
      </c>
      <c r="C78">
        <v>1</v>
      </c>
    </row>
    <row r="79" spans="1:3" x14ac:dyDescent="0.25">
      <c r="A79" s="3" t="s">
        <v>382</v>
      </c>
      <c r="B79">
        <v>1</v>
      </c>
      <c r="C79">
        <v>1</v>
      </c>
    </row>
    <row r="80" spans="1:3" x14ac:dyDescent="0.25">
      <c r="A80" s="6" t="s">
        <v>383</v>
      </c>
      <c r="B80">
        <v>1</v>
      </c>
      <c r="C80">
        <v>1</v>
      </c>
    </row>
    <row r="81" spans="1:3" x14ac:dyDescent="0.25">
      <c r="A81" s="3" t="s">
        <v>364</v>
      </c>
      <c r="B81">
        <v>1</v>
      </c>
      <c r="C81">
        <v>1</v>
      </c>
    </row>
    <row r="82" spans="1:3" x14ac:dyDescent="0.25">
      <c r="A82" s="6" t="s">
        <v>365</v>
      </c>
      <c r="B82">
        <v>1</v>
      </c>
      <c r="C82">
        <v>1</v>
      </c>
    </row>
    <row r="83" spans="1:3" x14ac:dyDescent="0.25">
      <c r="A83" s="3" t="s">
        <v>559</v>
      </c>
      <c r="B83">
        <v>1</v>
      </c>
      <c r="C83">
        <v>1</v>
      </c>
    </row>
    <row r="84" spans="1:3" x14ac:dyDescent="0.25">
      <c r="A84" s="6" t="s">
        <v>560</v>
      </c>
      <c r="B84">
        <v>1</v>
      </c>
      <c r="C84">
        <v>1</v>
      </c>
    </row>
    <row r="85" spans="1:3" x14ac:dyDescent="0.25">
      <c r="A85" s="3" t="s">
        <v>218</v>
      </c>
      <c r="B85">
        <v>1</v>
      </c>
      <c r="C85">
        <v>1</v>
      </c>
    </row>
    <row r="86" spans="1:3" x14ac:dyDescent="0.25">
      <c r="A86" s="6" t="s">
        <v>219</v>
      </c>
      <c r="B86">
        <v>1</v>
      </c>
      <c r="C86">
        <v>1</v>
      </c>
    </row>
    <row r="87" spans="1:3" x14ac:dyDescent="0.25">
      <c r="A87" s="3" t="s">
        <v>786</v>
      </c>
      <c r="B87">
        <v>1</v>
      </c>
      <c r="C87">
        <v>1</v>
      </c>
    </row>
    <row r="88" spans="1:3" x14ac:dyDescent="0.25">
      <c r="A88" s="6" t="s">
        <v>787</v>
      </c>
      <c r="B88">
        <v>1</v>
      </c>
      <c r="C88">
        <v>1</v>
      </c>
    </row>
    <row r="89" spans="1:3" x14ac:dyDescent="0.25">
      <c r="A89" s="3" t="s">
        <v>817</v>
      </c>
      <c r="B89">
        <v>1</v>
      </c>
      <c r="C89">
        <v>1</v>
      </c>
    </row>
    <row r="90" spans="1:3" x14ac:dyDescent="0.25">
      <c r="A90" s="6" t="s">
        <v>818</v>
      </c>
      <c r="B90">
        <v>1</v>
      </c>
      <c r="C90">
        <v>1</v>
      </c>
    </row>
    <row r="91" spans="1:3" x14ac:dyDescent="0.25">
      <c r="A91" s="3" t="s">
        <v>447</v>
      </c>
      <c r="B91">
        <v>1</v>
      </c>
      <c r="C91">
        <v>1</v>
      </c>
    </row>
    <row r="92" spans="1:3" x14ac:dyDescent="0.25">
      <c r="A92" s="6" t="s">
        <v>448</v>
      </c>
      <c r="B92">
        <v>1</v>
      </c>
      <c r="C92">
        <v>1</v>
      </c>
    </row>
    <row r="93" spans="1:3" x14ac:dyDescent="0.25">
      <c r="A93" s="3" t="s">
        <v>1062</v>
      </c>
      <c r="B93">
        <v>1</v>
      </c>
      <c r="C93">
        <v>1</v>
      </c>
    </row>
    <row r="94" spans="1:3" x14ac:dyDescent="0.25">
      <c r="A94" s="6" t="s">
        <v>1048</v>
      </c>
      <c r="B94">
        <v>1</v>
      </c>
      <c r="C94">
        <v>1</v>
      </c>
    </row>
    <row r="95" spans="1:3" x14ac:dyDescent="0.25">
      <c r="A95" s="3" t="s">
        <v>140</v>
      </c>
      <c r="B95">
        <v>1</v>
      </c>
      <c r="C95">
        <v>1</v>
      </c>
    </row>
    <row r="96" spans="1:3" x14ac:dyDescent="0.25">
      <c r="A96" s="6" t="s">
        <v>141</v>
      </c>
      <c r="B96">
        <v>1</v>
      </c>
      <c r="C96">
        <v>1</v>
      </c>
    </row>
    <row r="97" spans="1:3" x14ac:dyDescent="0.25">
      <c r="A97" s="3" t="s">
        <v>720</v>
      </c>
      <c r="B97">
        <v>1</v>
      </c>
      <c r="C97">
        <v>1</v>
      </c>
    </row>
    <row r="98" spans="1:3" x14ac:dyDescent="0.25">
      <c r="A98" s="6" t="s">
        <v>721</v>
      </c>
      <c r="B98">
        <v>1</v>
      </c>
      <c r="C98">
        <v>1</v>
      </c>
    </row>
    <row r="99" spans="1:3" x14ac:dyDescent="0.25">
      <c r="A99" s="3" t="s">
        <v>846</v>
      </c>
      <c r="B99">
        <v>1</v>
      </c>
      <c r="C99">
        <v>1</v>
      </c>
    </row>
    <row r="100" spans="1:3" x14ac:dyDescent="0.25">
      <c r="A100" s="6" t="s">
        <v>847</v>
      </c>
      <c r="B100">
        <v>1</v>
      </c>
      <c r="C100">
        <v>1</v>
      </c>
    </row>
    <row r="101" spans="1:3" x14ac:dyDescent="0.25">
      <c r="A101" s="3" t="s">
        <v>691</v>
      </c>
      <c r="B101">
        <v>1</v>
      </c>
      <c r="C101">
        <v>1</v>
      </c>
    </row>
    <row r="102" spans="1:3" x14ac:dyDescent="0.25">
      <c r="A102" s="6" t="s">
        <v>692</v>
      </c>
      <c r="B102">
        <v>1</v>
      </c>
      <c r="C102">
        <v>1</v>
      </c>
    </row>
    <row r="103" spans="1:3" x14ac:dyDescent="0.25">
      <c r="A103" s="3" t="s">
        <v>180</v>
      </c>
      <c r="B103">
        <v>1</v>
      </c>
      <c r="C103">
        <v>1</v>
      </c>
    </row>
    <row r="104" spans="1:3" x14ac:dyDescent="0.25">
      <c r="A104" s="6" t="s">
        <v>181</v>
      </c>
      <c r="B104">
        <v>1</v>
      </c>
      <c r="C104">
        <v>1</v>
      </c>
    </row>
    <row r="105" spans="1:3" x14ac:dyDescent="0.25">
      <c r="A105" s="3" t="s">
        <v>494</v>
      </c>
      <c r="B105">
        <v>1</v>
      </c>
      <c r="C105">
        <v>1</v>
      </c>
    </row>
    <row r="106" spans="1:3" x14ac:dyDescent="0.25">
      <c r="A106" s="6" t="s">
        <v>495</v>
      </c>
      <c r="B106">
        <v>1</v>
      </c>
      <c r="C106">
        <v>1</v>
      </c>
    </row>
    <row r="107" spans="1:3" x14ac:dyDescent="0.25">
      <c r="A107" s="3" t="s">
        <v>160</v>
      </c>
      <c r="B107">
        <v>1</v>
      </c>
      <c r="C107">
        <v>1</v>
      </c>
    </row>
    <row r="108" spans="1:3" x14ac:dyDescent="0.25">
      <c r="A108" s="6" t="s">
        <v>161</v>
      </c>
      <c r="B108">
        <v>1</v>
      </c>
      <c r="C108">
        <v>1</v>
      </c>
    </row>
    <row r="109" spans="1:3" x14ac:dyDescent="0.25">
      <c r="A109" s="3" t="s">
        <v>589</v>
      </c>
      <c r="B109">
        <v>1</v>
      </c>
      <c r="C109">
        <v>1</v>
      </c>
    </row>
    <row r="110" spans="1:3" x14ac:dyDescent="0.25">
      <c r="A110" s="6" t="s">
        <v>590</v>
      </c>
      <c r="B110">
        <v>1</v>
      </c>
      <c r="C110">
        <v>1</v>
      </c>
    </row>
    <row r="111" spans="1:3" x14ac:dyDescent="0.25">
      <c r="A111" s="3" t="s">
        <v>307</v>
      </c>
      <c r="B111">
        <v>1</v>
      </c>
      <c r="C111">
        <v>1</v>
      </c>
    </row>
    <row r="112" spans="1:3" x14ac:dyDescent="0.25">
      <c r="A112" s="6" t="s">
        <v>308</v>
      </c>
      <c r="B112">
        <v>1</v>
      </c>
      <c r="C112">
        <v>1</v>
      </c>
    </row>
    <row r="113" spans="1:3" x14ac:dyDescent="0.25">
      <c r="A113" s="3" t="s">
        <v>255</v>
      </c>
      <c r="B113">
        <v>1</v>
      </c>
      <c r="C113">
        <v>1</v>
      </c>
    </row>
    <row r="114" spans="1:3" x14ac:dyDescent="0.25">
      <c r="A114" s="6" t="s">
        <v>256</v>
      </c>
      <c r="B114">
        <v>1</v>
      </c>
      <c r="C114">
        <v>1</v>
      </c>
    </row>
    <row r="115" spans="1:3" x14ac:dyDescent="0.25">
      <c r="A115" s="3" t="s">
        <v>1193</v>
      </c>
      <c r="B115">
        <v>69</v>
      </c>
      <c r="C115">
        <v>69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04903-39B1-46FD-AB91-5B913883C911}">
  <dimension ref="A1:B5"/>
  <sheetViews>
    <sheetView workbookViewId="0">
      <selection activeCell="B23" sqref="B23:C27"/>
    </sheetView>
  </sheetViews>
  <sheetFormatPr defaultRowHeight="15" x14ac:dyDescent="0.25"/>
  <cols>
    <col min="1" max="1" width="26.42578125" customWidth="1"/>
    <col min="2" max="2" width="17" customWidth="1"/>
  </cols>
  <sheetData>
    <row r="1" spans="1:2" x14ac:dyDescent="0.25">
      <c r="A1" s="5" t="s">
        <v>1258</v>
      </c>
      <c r="B1" s="5" t="s">
        <v>1265</v>
      </c>
    </row>
    <row r="2" spans="1:2" x14ac:dyDescent="0.25">
      <c r="A2" t="s">
        <v>84</v>
      </c>
      <c r="B2">
        <v>10</v>
      </c>
    </row>
    <row r="3" spans="1:2" x14ac:dyDescent="0.25">
      <c r="A3" t="s">
        <v>203</v>
      </c>
      <c r="B3">
        <v>4</v>
      </c>
    </row>
    <row r="4" spans="1:2" x14ac:dyDescent="0.25">
      <c r="A4" t="s">
        <v>80</v>
      </c>
      <c r="B4">
        <v>57</v>
      </c>
    </row>
    <row r="5" spans="1:2" x14ac:dyDescent="0.25">
      <c r="A5" t="s">
        <v>1246</v>
      </c>
      <c r="B5">
        <v>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8DABF-94EB-4B78-B473-343554963AB7}">
  <dimension ref="A3:B8"/>
  <sheetViews>
    <sheetView workbookViewId="0">
      <selection activeCell="F19" sqref="F19"/>
    </sheetView>
  </sheetViews>
  <sheetFormatPr defaultRowHeight="15" x14ac:dyDescent="0.25"/>
  <cols>
    <col min="1" max="1" width="27.42578125" bestFit="1" customWidth="1"/>
    <col min="2" max="2" width="17" bestFit="1" customWidth="1"/>
  </cols>
  <sheetData>
    <row r="3" spans="1:2" x14ac:dyDescent="0.25">
      <c r="A3" s="2" t="s">
        <v>1192</v>
      </c>
      <c r="B3" t="s">
        <v>1266</v>
      </c>
    </row>
    <row r="4" spans="1:2" x14ac:dyDescent="0.25">
      <c r="A4" s="3" t="s">
        <v>84</v>
      </c>
      <c r="B4">
        <v>10</v>
      </c>
    </row>
    <row r="5" spans="1:2" x14ac:dyDescent="0.25">
      <c r="A5" s="3" t="s">
        <v>203</v>
      </c>
      <c r="B5">
        <v>4</v>
      </c>
    </row>
    <row r="6" spans="1:2" x14ac:dyDescent="0.25">
      <c r="A6" s="3" t="s">
        <v>80</v>
      </c>
      <c r="B6">
        <v>57</v>
      </c>
    </row>
    <row r="7" spans="1:2" x14ac:dyDescent="0.25">
      <c r="A7" s="3" t="s">
        <v>1246</v>
      </c>
      <c r="B7">
        <v>2</v>
      </c>
    </row>
    <row r="8" spans="1:2" x14ac:dyDescent="0.25">
      <c r="A8" s="3" t="s">
        <v>1193</v>
      </c>
      <c r="B8">
        <v>73</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550605-F935-4750-8FA4-19B7D7BDA1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Tree Species Assesement</vt:lpstr>
      <vt:lpstr>Gender</vt:lpstr>
      <vt:lpstr>Age</vt:lpstr>
      <vt:lpstr>Age1</vt:lpstr>
      <vt:lpstr>Occupation</vt:lpstr>
      <vt:lpstr>Education</vt:lpstr>
      <vt:lpstr>Education1</vt:lpstr>
      <vt:lpstr>Livelihood</vt:lpstr>
      <vt:lpstr>LIvelihood1</vt:lpstr>
      <vt:lpstr>Forestry</vt:lpstr>
      <vt:lpstr>Forestry1</vt:lpstr>
      <vt:lpstr>Forestry2</vt:lpstr>
      <vt:lpstr>Forestry3</vt:lpstr>
      <vt:lpstr>Forestry4</vt:lpstr>
      <vt:lpstr>Farm Forestry</vt:lpstr>
      <vt:lpstr>Farmforestry1</vt:lpstr>
      <vt:lpstr>Other Practices</vt:lpstr>
      <vt:lpstr>OtherPractices1</vt:lpstr>
      <vt:lpstr>Seedling Source</vt:lpstr>
      <vt:lpstr>Source1</vt:lpstr>
      <vt:lpstr>Source2</vt:lpstr>
      <vt:lpstr>Source3</vt:lpstr>
      <vt:lpstr>Selection</vt:lpstr>
      <vt:lpstr>Seed species</vt:lpstr>
      <vt:lpstr>Purpose</vt:lpstr>
      <vt:lpstr>Reason</vt:lpstr>
      <vt:lpstr>Reason1</vt:lpstr>
      <vt:lpstr>Seed Distribution</vt:lpstr>
      <vt:lpstr>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STEPHEN 0NYII</cp:lastModifiedBy>
  <dcterms:created xsi:type="dcterms:W3CDTF">2026-05-19T05:46:29Z</dcterms:created>
  <dcterms:modified xsi:type="dcterms:W3CDTF">2026-06-14T17:50:35Z</dcterms:modified>
</cp:coreProperties>
</file>